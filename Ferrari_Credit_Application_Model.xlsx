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<sst xmlns="http://schemas.openxmlformats.org/spreadsheetml/2006/main" count="593" uniqueCount="426">
  <si>
    <t xml:space="preserve">FERRARI N.V.</t>
  </si>
  <si>
    <t xml:space="preserve">Credit Application: Integrated Financial Model</t>
  </si>
  <si>
    <t xml:space="preserve">Ferrari Residential Complex Miami  |  €1,100m annuity term loan</t>
  </si>
  <si>
    <t xml:space="preserve">Business Plan and Credit Assessment, 2022A-2030F</t>
  </si>
  <si>
    <t xml:space="preserve">EM032 Banking, IES FSV UK</t>
  </si>
  <si>
    <t xml:space="preserve">Matúš Balko</t>
  </si>
  <si>
    <t xml:space="preserve">November 2025</t>
  </si>
  <si>
    <t xml:space="preserve">Hypothetical case study: the Ferrari Residential Complex Miami project, its costs, financing and loan terms are made up for an academic exercise. Ferrari N.V. has not announced such a project. Historical 2022-2024 figures are Ferrari's reported data.</t>
  </si>
  <si>
    <t xml:space="preserve">Table of Contents</t>
  </si>
  <si>
    <t xml:space="preserve">Model Checks</t>
  </si>
  <si>
    <t xml:space="preserve">Inputs</t>
  </si>
  <si>
    <t xml:space="preserve">Does the balance sheet balance (standalone)?</t>
  </si>
  <si>
    <t xml:space="preserve">Income Statement</t>
  </si>
  <si>
    <t xml:space="preserve">Does the balance sheet balance (with project)?</t>
  </si>
  <si>
    <t xml:space="preserve">Revenue Build: Shipments and Revenue per Unit</t>
  </si>
  <si>
    <t xml:space="preserve">Is cash negative in any year?</t>
  </si>
  <si>
    <t xml:space="preserve">Balance Sheet</t>
  </si>
  <si>
    <t xml:space="preserve">Annuity instalment matches Excel PMT?</t>
  </si>
  <si>
    <t xml:space="preserve">Cash Flow Statement</t>
  </si>
  <si>
    <t xml:space="preserve">Project loan fully repaid by Q4 2030?</t>
  </si>
  <si>
    <t xml:space="preserve">Financial Analysis: Ferrari Standalone</t>
  </si>
  <si>
    <t xml:space="preserve">Working Capital Schedule</t>
  </si>
  <si>
    <t xml:space="preserve">Fixed Asset Schedule: PP&amp;E and Intangible Assets</t>
  </si>
  <si>
    <t xml:space="preserve">Financing Schedule: Debt, Cash and Equity</t>
  </si>
  <si>
    <t xml:space="preserve">Residential Project: Ferrari Residential Complex Miami</t>
  </si>
  <si>
    <t xml:space="preserve">Project Loan: Annuity Repayment Schedule</t>
  </si>
  <si>
    <t xml:space="preserve">Pro-forma Statements: Ferrari with Project</t>
  </si>
  <si>
    <t xml:space="preserve">Credit Metrics: Standalone vs. with Project</t>
  </si>
  <si>
    <t xml:space="preserve">Key Figures</t>
  </si>
  <si>
    <t xml:space="preserve">Base-Case Credit Profile (2025F-2030F)</t>
  </si>
  <si>
    <t xml:space="preserve">Project loan amount (€m)</t>
  </si>
  <si>
    <t xml:space="preserve">Peak net debt / EBITDA (standalone)</t>
  </si>
  <si>
    <t xml:space="preserve">Interest rate (fixed, p.a.)</t>
  </si>
  <si>
    <t xml:space="preserve">Peak net debt / EBITDA (with project)</t>
  </si>
  <si>
    <t xml:space="preserve">Quarterly annuity instalment (€m)</t>
  </si>
  <si>
    <t xml:space="preserve">Minimum EBITDA / interest (with project)</t>
  </si>
  <si>
    <t xml:space="preserve">Total interest over loan life (€m)</t>
  </si>
  <si>
    <t xml:space="preserve">Minimum project DSCR (repayment years)</t>
  </si>
  <si>
    <t xml:space="preserve">Project IRR (unlevered, pre-tax)</t>
  </si>
  <si>
    <t xml:space="preserve">Lowest cash balance with project (€m)</t>
  </si>
  <si>
    <t xml:space="preserve">Break-even price incl. financing (€ per m²)</t>
  </si>
  <si>
    <t xml:space="preserve">Notes</t>
  </si>
  <si>
    <t xml:space="preserve">All figures in € millions unless stated. Historical data 2022-2024: Ferrari N.V. consolidated financial statements (Form 20-F), IFRS.</t>
  </si>
  <si>
    <t xml:space="preserve">Forecast drivers and project assumptions are on the Inputs sheet. Cash is derived from the cash flow statement, so the balance sheet balances without a plug.</t>
  </si>
  <si>
    <t xml:space="preserve">The project loan is a fixed-rate annuity: interest-only during construction, then eight equal quarterly instalments.</t>
  </si>
  <si>
    <t xml:space="preserve">Project interest is expensed through the income statement. This is a simplification, as under IAS 23 it would be capitalised into inventory and released on handover.</t>
  </si>
  <si>
    <t xml:space="preserve">Hypothetical case study: the Miami residential project and the loan are fictional and were made up for an academic exercise. Not affiliated with or endorsed by Ferrari N.V.</t>
  </si>
  <si>
    <t xml:space="preserve">Ferrari N.V.  |  Credit Application Model</t>
  </si>
  <si>
    <t xml:space="preserve">Inputs: Forecast Drivers and Project Assumptions</t>
  </si>
  <si>
    <t xml:space="preserve">All figures in € millions unless stated</t>
  </si>
  <si>
    <t xml:space="preserve">Forecast</t>
  </si>
  <si>
    <t xml:space="preserve">Input</t>
  </si>
  <si>
    <t xml:space="preserve">Basis and source</t>
  </si>
  <si>
    <t xml:space="preserve">REVENUE: SHIPMENTS AND NET REVENUE PER UNIT</t>
  </si>
  <si>
    <t xml:space="preserve">EMEA shipment growth</t>
  </si>
  <si>
    <t xml:space="preserve">% y/y</t>
  </si>
  <si>
    <t xml:space="preserve">Volumes kept broadly stable (Ferrari CMD Oct-2025: growth driven by price and mix, not volume)</t>
  </si>
  <si>
    <t xml:space="preserve">Americas shipment growth</t>
  </si>
  <si>
    <t xml:space="preserve">Strongest region (2023-24 average +7.8% y/y), moderated</t>
  </si>
  <si>
    <t xml:space="preserve">Mainland China, Hong Kong and Taiwan shipment growth</t>
  </si>
  <si>
    <t xml:space="preserve">Gradual recovery from low 2024 base (-22.0% y/y)</t>
  </si>
  <si>
    <t xml:space="preserve">Rest of APAC shipment growth</t>
  </si>
  <si>
    <t xml:space="preserve">Volumes kept broadly stable</t>
  </si>
  <si>
    <t xml:space="preserve">Growth in net revenue per unit shipped</t>
  </si>
  <si>
    <t xml:space="preserve">Price, mix and personalisation. Gives about €7.1bn of revenue in 2025 (guidance of at least €7.1bn) and about €9.0bn in 2030 (Ferrari target, about 5% a year)</t>
  </si>
  <si>
    <t xml:space="preserve">OPERATING COSTS AND TAX</t>
  </si>
  <si>
    <t xml:space="preserve">Cost of sales</t>
  </si>
  <si>
    <t xml:space="preserve">% revenue</t>
  </si>
  <si>
    <t xml:space="preserve">Gradual improvement from 49.9% (2024A) toward Ferrari's 2030 target of an EBITDA margin of at least 40%</t>
  </si>
  <si>
    <t xml:space="preserve">Selling, general and administrative costs</t>
  </si>
  <si>
    <t xml:space="preserve">2024A level (2022-24 range 7.7-8.4%)</t>
  </si>
  <si>
    <t xml:space="preserve">Research and development costs</t>
  </si>
  <si>
    <t xml:space="preserve">Close to 2024A (13.4%) as EV and new-model spending continues</t>
  </si>
  <si>
    <t xml:space="preserve">Other expenses, net</t>
  </si>
  <si>
    <t xml:space="preserve">2024A level</t>
  </si>
  <si>
    <t xml:space="preserve">Result from investments</t>
  </si>
  <si>
    <t xml:space="preserve">€m</t>
  </si>
  <si>
    <t xml:space="preserve">Held at about the 2024A level (€8.2m)</t>
  </si>
  <si>
    <t xml:space="preserve">Effective tax rate</t>
  </si>
  <si>
    <t xml:space="preserve">% EBT</t>
  </si>
  <si>
    <t xml:space="preserve">2022-24 average 20.3% (Italian patent box benefit)</t>
  </si>
  <si>
    <t xml:space="preserve">Non-controlling interests</t>
  </si>
  <si>
    <t xml:space="preserve">% net profit</t>
  </si>
  <si>
    <t xml:space="preserve">2024A: 0.3%</t>
  </si>
  <si>
    <t xml:space="preserve">WORKING CAPITAL</t>
  </si>
  <si>
    <t xml:space="preserve">Trade receivables</t>
  </si>
  <si>
    <t xml:space="preserve">days</t>
  </si>
  <si>
    <t xml:space="preserve">2024A: 19.1 days of revenue</t>
  </si>
  <si>
    <t xml:space="preserve">Inventories</t>
  </si>
  <si>
    <t xml:space="preserve">2024A: 119.3 days of cost of sales</t>
  </si>
  <si>
    <t xml:space="preserve">Trade payables</t>
  </si>
  <si>
    <t xml:space="preserve">2024A: 103.7 days of cost of sales</t>
  </si>
  <si>
    <t xml:space="preserve">Receivables from financing activities</t>
  </si>
  <si>
    <t xml:space="preserve">2024A: 24.9%. Client and dealer financing grows with sales</t>
  </si>
  <si>
    <t xml:space="preserve">Other current assets</t>
  </si>
  <si>
    <t xml:space="preserve">2024A: 2.1%</t>
  </si>
  <si>
    <t xml:space="preserve">Other liabilities</t>
  </si>
  <si>
    <t xml:space="preserve">2024A: 16.6%, includes client advances and deferred income</t>
  </si>
  <si>
    <t xml:space="preserve">Provisions</t>
  </si>
  <si>
    <t xml:space="preserve">2024A: 3.1%</t>
  </si>
  <si>
    <t xml:space="preserve">Days in period</t>
  </si>
  <si>
    <t xml:space="preserve">Goodwill, investments, tax balances, deferred taxes, employee benefits and other financial liabilities are held at 2024A levels</t>
  </si>
  <si>
    <t xml:space="preserve">CAPITAL EXPENDITURE, DEPRECIATION AND AMORTISATION</t>
  </si>
  <si>
    <t xml:space="preserve">Capital expenditure on PP&amp;E</t>
  </si>
  <si>
    <t xml:space="preserve">Total capex of 11.5% of revenue, about €4.7bn over 2026-30 (Ferrari target)</t>
  </si>
  <si>
    <t xml:space="preserve">Capital expenditure on intangible assets (capitalised development)</t>
  </si>
  <si>
    <t xml:space="preserve">See above (2024A: 7.2% PP&amp;E + 7.6% intangibles during the e-building peak)</t>
  </si>
  <si>
    <t xml:space="preserve">Depreciation</t>
  </si>
  <si>
    <t xml:space="preserve">% opening PP&amp;E</t>
  </si>
  <si>
    <t xml:space="preserve">Implied 2024A roll-forward: 14.5%</t>
  </si>
  <si>
    <t xml:space="preserve">Amortisation</t>
  </si>
  <si>
    <t xml:space="preserve">% opening intangibles</t>
  </si>
  <si>
    <t xml:space="preserve">Implied 2024A roll-forward: 26.8%</t>
  </si>
  <si>
    <t xml:space="preserve">FINANCING AND SHAREHOLDER RETURNS</t>
  </si>
  <si>
    <t xml:space="preserve">Change in existing debt</t>
  </si>
  <si>
    <t xml:space="preserve">Maturities refinanced, no new corporate debt in the base case</t>
  </si>
  <si>
    <t xml:space="preserve">Interest rate on existing debt</t>
  </si>
  <si>
    <t xml:space="preserve">% opening debt</t>
  </si>
  <si>
    <t xml:space="preserve">Keeps financial expenses at the 2024A level (€146m, about 4.4% of year-end 2024 debt)</t>
  </si>
  <si>
    <t xml:space="preserve">Interest income on cash</t>
  </si>
  <si>
    <t xml:space="preserve">% opening cash</t>
  </si>
  <si>
    <t xml:space="preserve">Euro deposit rates of about 2%. Excludes FX and hedging gains included in historical financial income</t>
  </si>
  <si>
    <t xml:space="preserve">Dividend payout</t>
  </si>
  <si>
    <t xml:space="preserve">% prior-yr profit</t>
  </si>
  <si>
    <t xml:space="preserve">35% of prior-year profit, raised to 40% from 2027 (Ferrari Capital Markets Day, October 2025)</t>
  </si>
  <si>
    <t xml:space="preserve">Share repurchases</t>
  </si>
  <si>
    <t xml:space="preserve">Ferrari target of about €3.5bn of buybacks in 2026-30. 2025 in line with the 2022-24 average (€479m)</t>
  </si>
  <si>
    <t xml:space="preserve">RESIDENTIAL PROJECT: MIAMI</t>
  </si>
  <si>
    <t xml:space="preserve">Sellable residential area</t>
  </si>
  <si>
    <t xml:space="preserve">m²</t>
  </si>
  <si>
    <t xml:space="preserve">Credit application, section 4.1</t>
  </si>
  <si>
    <t xml:space="preserve">Planned units (260 apartments, 20 penthouses, 2 sky villas)</t>
  </si>
  <si>
    <t xml:space="preserve">units</t>
  </si>
  <si>
    <t xml:space="preserve">Average selling price (base case)</t>
  </si>
  <si>
    <t xml:space="preserve">€ per m²</t>
  </si>
  <si>
    <t xml:space="preserve">Low end of the €18,000-30,000 range. Ferrari brand premium of about 25% over Miami luxury comparables</t>
  </si>
  <si>
    <t xml:space="preserve">Tax rate on project profit</t>
  </si>
  <si>
    <t xml:space="preserve">US federal 21% + Florida 5.5% (state tax deductible for federal purposes)</t>
  </si>
  <si>
    <t xml:space="preserve">Development cost (construction, design, amenities)</t>
  </si>
  <si>
    <t xml:space="preserve">Total €1,425m incl. land, construction, design, fees and sales costs. Heaviest in structural works (2026-27)</t>
  </si>
  <si>
    <t xml:space="preserve">Project loan drawdowns</t>
  </si>
  <si>
    <t xml:space="preserve">€1,100m term loan drawn in equal quarterly tranches after Ferrari's equity is spent</t>
  </si>
  <si>
    <t xml:space="preserve">Units handed over</t>
  </si>
  <si>
    <t xml:space="preserve">% of area</t>
  </si>
  <si>
    <t xml:space="preserve">Revenue recognised on handover (IFRS 15). Presales deposits not modelled</t>
  </si>
  <si>
    <t xml:space="preserve">Total development cost</t>
  </si>
  <si>
    <t xml:space="preserve">Calculated</t>
  </si>
  <si>
    <t xml:space="preserve">Ferrari equity contribution</t>
  </si>
  <si>
    <t xml:space="preserve">Calculated: development cost less loan</t>
  </si>
  <si>
    <t xml:space="preserve">PROJECT LOAN: ANNUITY TERM LOAN</t>
  </si>
  <si>
    <t xml:space="preserve">Loan amount</t>
  </si>
  <si>
    <t xml:space="preserve">Calculated: sum of drawdowns</t>
  </si>
  <si>
    <t xml:space="preserve">Interest rate (fixed)</t>
  </si>
  <si>
    <t xml:space="preserve">% p.a.</t>
  </si>
  <si>
    <t xml:space="preserve">As proposed in the credit application. Corporate loan with full recourse to Ferrari N.V.</t>
  </si>
  <si>
    <t xml:space="preserve">Instalments per year</t>
  </si>
  <si>
    <t xml:space="preserve">#</t>
  </si>
  <si>
    <t xml:space="preserve">Quarterly payments</t>
  </si>
  <si>
    <t xml:space="preserve">First repayment year</t>
  </si>
  <si>
    <t xml:space="preserve">year</t>
  </si>
  <si>
    <t xml:space="preserve">Interest-only during construction (2026-28)</t>
  </si>
  <si>
    <t xml:space="preserve">Repayment period</t>
  </si>
  <si>
    <t xml:space="preserve">years</t>
  </si>
  <si>
    <t xml:space="preserve">Repaid from unit sales in 2029-30, must end by 2030 (model horizon)</t>
  </si>
  <si>
    <t xml:space="preserve">Actual</t>
  </si>
  <si>
    <t xml:space="preserve">Net revenues</t>
  </si>
  <si>
    <t xml:space="preserve">Gross profit</t>
  </si>
  <si>
    <t xml:space="preserve">Operating profit (EBIT)</t>
  </si>
  <si>
    <t xml:space="preserve">Financial income</t>
  </si>
  <si>
    <t xml:space="preserve">Financial expenses</t>
  </si>
  <si>
    <t xml:space="preserve">Profit before taxes</t>
  </si>
  <si>
    <t xml:space="preserve">Income tax expense</t>
  </si>
  <si>
    <t xml:space="preserve">Net profit</t>
  </si>
  <si>
    <t xml:space="preserve">Attributable to non-controlling interests</t>
  </si>
  <si>
    <t xml:space="preserve">Attributable to owners of the parent</t>
  </si>
  <si>
    <t xml:space="preserve">Memo:</t>
  </si>
  <si>
    <t xml:space="preserve">Depreciation and amortisation</t>
  </si>
  <si>
    <t xml:space="preserve">EBITDA</t>
  </si>
  <si>
    <t xml:space="preserve">Assumptions:</t>
  </si>
  <si>
    <t xml:space="preserve">Revenue growth</t>
  </si>
  <si>
    <t xml:space="preserve">Gross margin</t>
  </si>
  <si>
    <t xml:space="preserve">Cost of sales (% of revenue)</t>
  </si>
  <si>
    <t xml:space="preserve">SG&amp;A (% of revenue)</t>
  </si>
  <si>
    <t xml:space="preserve">R&amp;D (% of revenue)</t>
  </si>
  <si>
    <t xml:space="preserve">Other expenses, net (% of revenue)</t>
  </si>
  <si>
    <t xml:space="preserve">EBITDA margin</t>
  </si>
  <si>
    <t xml:space="preserve">EBIT margin</t>
  </si>
  <si>
    <t xml:space="preserve">Non-controlling interests (% of net profit)</t>
  </si>
  <si>
    <t xml:space="preserve">Shipments in units, revenue in € millions</t>
  </si>
  <si>
    <t xml:space="preserve">SHIPMENTS BY REGION</t>
  </si>
  <si>
    <t xml:space="preserve">EMEA</t>
  </si>
  <si>
    <t xml:space="preserve">Americas</t>
  </si>
  <si>
    <t xml:space="preserve">Mainland China, Hong Kong and Taiwan</t>
  </si>
  <si>
    <t xml:space="preserve">Rest of APAC</t>
  </si>
  <si>
    <t xml:space="preserve">Total shipments</t>
  </si>
  <si>
    <t xml:space="preserve">Shipment growth</t>
  </si>
  <si>
    <t xml:space="preserve">Net revenue per unit shipped (€ thousands)</t>
  </si>
  <si>
    <t xml:space="preserve">Growth in net revenue per unit</t>
  </si>
  <si>
    <t xml:space="preserve">ASSETS</t>
  </si>
  <si>
    <t xml:space="preserve">Goodwill</t>
  </si>
  <si>
    <t xml:space="preserve">Intangible assets</t>
  </si>
  <si>
    <t xml:space="preserve">Property, plant and equipment</t>
  </si>
  <si>
    <t xml:space="preserve">Investments and other financial assets</t>
  </si>
  <si>
    <t xml:space="preserve">Deferred tax assets</t>
  </si>
  <si>
    <t xml:space="preserve">Total non-current assets</t>
  </si>
  <si>
    <t xml:space="preserve">Tax receivables</t>
  </si>
  <si>
    <t xml:space="preserve">Current financial assets</t>
  </si>
  <si>
    <t xml:space="preserve">Cash and cash equivalents</t>
  </si>
  <si>
    <t xml:space="preserve">Total current assets</t>
  </si>
  <si>
    <t xml:space="preserve">Total assets</t>
  </si>
  <si>
    <t xml:space="preserve">EQUITY AND LIABILITIES</t>
  </si>
  <si>
    <t xml:space="preserve">Equity attributable to owners of the parent</t>
  </si>
  <si>
    <t xml:space="preserve">Total equity</t>
  </si>
  <si>
    <t xml:space="preserve">Employee benefits</t>
  </si>
  <si>
    <t xml:space="preserve">Deferred tax liabilities</t>
  </si>
  <si>
    <t xml:space="preserve">Debt</t>
  </si>
  <si>
    <t xml:space="preserve">Other financial liabilities</t>
  </si>
  <si>
    <t xml:space="preserve">Tax payables</t>
  </si>
  <si>
    <t xml:space="preserve">Total liabilities</t>
  </si>
  <si>
    <t xml:space="preserve">Total equity and liabilities</t>
  </si>
  <si>
    <t xml:space="preserve">Balance check</t>
  </si>
  <si>
    <t xml:space="preserve">Is cash negative?</t>
  </si>
  <si>
    <t xml:space="preserve">CASH FROM OPERATING ACTIVITIES</t>
  </si>
  <si>
    <t xml:space="preserve">Change in trade receivables</t>
  </si>
  <si>
    <t xml:space="preserve">Change in inventories</t>
  </si>
  <si>
    <t xml:space="preserve">Change in receivables from financing activities</t>
  </si>
  <si>
    <t xml:space="preserve">Change in trade payables</t>
  </si>
  <si>
    <t xml:space="preserve">Change in other operating assets and liabilities</t>
  </si>
  <si>
    <t xml:space="preserve">Other operating items, net</t>
  </si>
  <si>
    <t xml:space="preserve">Cash flows from operating activities</t>
  </si>
  <si>
    <t xml:space="preserve">CASH FROM INVESTING ACTIVITIES</t>
  </si>
  <si>
    <t xml:space="preserve">Investments in intangible assets</t>
  </si>
  <si>
    <t xml:space="preserve">Investments in property, plant and equipment</t>
  </si>
  <si>
    <t xml:space="preserve">Other investing activities, net</t>
  </si>
  <si>
    <t xml:space="preserve">Cash flows used in investing activities</t>
  </si>
  <si>
    <t xml:space="preserve">CASH FROM FINANCING ACTIVITIES</t>
  </si>
  <si>
    <t xml:space="preserve">Net change in debt</t>
  </si>
  <si>
    <t xml:space="preserve">Dividends paid to owners of the parent</t>
  </si>
  <si>
    <t xml:space="preserve">Dividends paid to non-controlling interests</t>
  </si>
  <si>
    <t xml:space="preserve">Cash flows used in financing activities</t>
  </si>
  <si>
    <t xml:space="preserve">Translation exchange differences</t>
  </si>
  <si>
    <t xml:space="preserve">Total change in cash and cash equivalents</t>
  </si>
  <si>
    <t xml:space="preserve">Cash at the beginning of the year</t>
  </si>
  <si>
    <t xml:space="preserve">Cash at the end of the year</t>
  </si>
  <si>
    <t xml:space="preserve">Check vs. balance sheet cash</t>
  </si>
  <si>
    <t xml:space="preserve">PROFITABILITY</t>
  </si>
  <si>
    <t xml:space="preserve">Net profit margin</t>
  </si>
  <si>
    <t xml:space="preserve">Return on average equity</t>
  </si>
  <si>
    <t xml:space="preserve">Return on average assets</t>
  </si>
  <si>
    <t xml:space="preserve">REFORMULATED BALANCE SHEET</t>
  </si>
  <si>
    <t xml:space="preserve">Cash and current financial assets</t>
  </si>
  <si>
    <t xml:space="preserve">Debt and other financial liabilities</t>
  </si>
  <si>
    <t xml:space="preserve">Net financial obligations (NFO)</t>
  </si>
  <si>
    <t xml:space="preserve">Net operating assets (NOA)</t>
  </si>
  <si>
    <t xml:space="preserve">Total equity (reformulated)</t>
  </si>
  <si>
    <t xml:space="preserve">Check vs. balance sheet equity</t>
  </si>
  <si>
    <t xml:space="preserve">RETURN ON EQUITY DECOMPOSITION</t>
  </si>
  <si>
    <t xml:space="preserve">Operating profit after tax</t>
  </si>
  <si>
    <t xml:space="preserve">Net financial expense after tax</t>
  </si>
  <si>
    <t xml:space="preserve">Return on net operating assets (RNOA)</t>
  </si>
  <si>
    <t xml:space="preserve">Net borrowing cost (NBC)</t>
  </si>
  <si>
    <t xml:space="preserve">Financial leverage (FLEV)</t>
  </si>
  <si>
    <t xml:space="preserve">Operating spread</t>
  </si>
  <si>
    <t xml:space="preserve">Return on equity (decomposed)</t>
  </si>
  <si>
    <t xml:space="preserve">Check vs. return on equity</t>
  </si>
  <si>
    <t xml:space="preserve">EFFICIENCY</t>
  </si>
  <si>
    <t xml:space="preserve">Trade receivables (days of revenue)</t>
  </si>
  <si>
    <t xml:space="preserve">Inventories (days of cost of sales)</t>
  </si>
  <si>
    <t xml:space="preserve">Trade payables (days of cost of sales)</t>
  </si>
  <si>
    <t xml:space="preserve">Cash conversion cycle (days)</t>
  </si>
  <si>
    <t xml:space="preserve">Asset turnover</t>
  </si>
  <si>
    <t xml:space="preserve">LIQUIDITY</t>
  </si>
  <si>
    <t xml:space="preserve">Short-term liabilities (excl. debt)</t>
  </si>
  <si>
    <t xml:space="preserve">Current ratio</t>
  </si>
  <si>
    <t xml:space="preserve">Quick ratio (excl. inventories)</t>
  </si>
  <si>
    <t xml:space="preserve">LEVERAGE AND COVERAGE</t>
  </si>
  <si>
    <t xml:space="preserve">Net debt / EBITDA</t>
  </si>
  <si>
    <t xml:space="preserve">Debt / equity</t>
  </si>
  <si>
    <t xml:space="preserve">Equity ratio</t>
  </si>
  <si>
    <t xml:space="preserve">Interest coverage (EBIT basis)</t>
  </si>
  <si>
    <t xml:space="preserve">CASH FLOW</t>
  </si>
  <si>
    <t xml:space="preserve">Capital expenditure</t>
  </si>
  <si>
    <t xml:space="preserve">Free cash flow</t>
  </si>
  <si>
    <t xml:space="preserve">FCF margin</t>
  </si>
  <si>
    <t xml:space="preserve">Dividends and share buybacks</t>
  </si>
  <si>
    <t xml:space="preserve">DRIVERS</t>
  </si>
  <si>
    <t xml:space="preserve">Financing receivables (% of revenue)</t>
  </si>
  <si>
    <t xml:space="preserve">Other current assets (% of revenue)</t>
  </si>
  <si>
    <t xml:space="preserve">Other liabilities (% of revenue)</t>
  </si>
  <si>
    <t xml:space="preserve">Provisions (% of revenue)</t>
  </si>
  <si>
    <t xml:space="preserve">BALANCES</t>
  </si>
  <si>
    <t xml:space="preserve">PROPERTY, PLANT AND EQUIPMENT</t>
  </si>
  <si>
    <t xml:space="preserve">Beginning balance</t>
  </si>
  <si>
    <t xml:space="preserve">Depreciation and other movements</t>
  </si>
  <si>
    <t xml:space="preserve">Ending balance</t>
  </si>
  <si>
    <t xml:space="preserve">INTANGIBLE ASSETS</t>
  </si>
  <si>
    <t xml:space="preserve">Amortisation and other movements</t>
  </si>
  <si>
    <t xml:space="preserve">Total depreciation and amortisation</t>
  </si>
  <si>
    <t xml:space="preserve">PP&amp;E capex (% of revenue)</t>
  </si>
  <si>
    <t xml:space="preserve">Intangible assets capex (% of revenue)</t>
  </si>
  <si>
    <t xml:space="preserve">Depreciation (% of opening PP&amp;E)</t>
  </si>
  <si>
    <t xml:space="preserve">Amortisation (% of opening intangibles)</t>
  </si>
  <si>
    <t xml:space="preserve">EXISTING DEBT</t>
  </si>
  <si>
    <t xml:space="preserve">Increase / (decrease)</t>
  </si>
  <si>
    <t xml:space="preserve">Financial expenses (% of opening debt)</t>
  </si>
  <si>
    <t xml:space="preserve">CASH</t>
  </si>
  <si>
    <t xml:space="preserve">Opening cash balance</t>
  </si>
  <si>
    <t xml:space="preserve">Financial income (% of opening cash)</t>
  </si>
  <si>
    <t xml:space="preserve">EQUITY ATTRIBUTABLE TO OWNERS OF THE PARENT</t>
  </si>
  <si>
    <t xml:space="preserve">Net profit attributable to owners</t>
  </si>
  <si>
    <t xml:space="preserve">Dividends paid</t>
  </si>
  <si>
    <t xml:space="preserve">Other movements (OCI, share-based payments)</t>
  </si>
  <si>
    <t xml:space="preserve">Dividend payout (% of prior-year net profit)</t>
  </si>
  <si>
    <t xml:space="preserve">Total</t>
  </si>
  <si>
    <t xml:space="preserve">DEVELOPMENT COST AND FUNDING</t>
  </si>
  <si>
    <t xml:space="preserve">Development cost (capitalised in inventory)</t>
  </si>
  <si>
    <t xml:space="preserve">Funded by project loan</t>
  </si>
  <si>
    <t xml:space="preserve">Funded by Ferrari equity contribution</t>
  </si>
  <si>
    <t xml:space="preserve">SALES</t>
  </si>
  <si>
    <t xml:space="preserve">Units handed over (% of sellable area)</t>
  </si>
  <si>
    <t xml:space="preserve">Area handed over (m²)</t>
  </si>
  <si>
    <t xml:space="preserve">Average selling price (€ per m²)</t>
  </si>
  <si>
    <t xml:space="preserve">Project revenue</t>
  </si>
  <si>
    <t xml:space="preserve">Cost of units handed over</t>
  </si>
  <si>
    <t xml:space="preserve">Development profit (before financing and tax)</t>
  </si>
  <si>
    <t xml:space="preserve">Development margin</t>
  </si>
  <si>
    <t xml:space="preserve">PROJECT INVENTORY (IAS 2, PROPERTY DEVELOPED FOR SALE)</t>
  </si>
  <si>
    <t xml:space="preserve">Development cost capitalised</t>
  </si>
  <si>
    <t xml:space="preserve">Released to cost of sales on handover</t>
  </si>
  <si>
    <t xml:space="preserve">PROJECT PROFIT AND LOSS</t>
  </si>
  <si>
    <t xml:space="preserve">Development profit</t>
  </si>
  <si>
    <t xml:space="preserve">Interest expense on project loan</t>
  </si>
  <si>
    <t xml:space="preserve">Project profit before tax</t>
  </si>
  <si>
    <t xml:space="preserve">Income tax</t>
  </si>
  <si>
    <t xml:space="preserve">Project net profit</t>
  </si>
  <si>
    <t xml:space="preserve">PROJECT CASH FLOWS AND RETURNS</t>
  </si>
  <si>
    <t xml:space="preserve">Development cost</t>
  </si>
  <si>
    <t xml:space="preserve">Sales receipts</t>
  </si>
  <si>
    <t xml:space="preserve">Unlevered pre-tax project cash flow</t>
  </si>
  <si>
    <t xml:space="preserve">Loan drawdowns</t>
  </si>
  <si>
    <t xml:space="preserve">Interest paid</t>
  </si>
  <si>
    <t xml:space="preserve">Principal repaid</t>
  </si>
  <si>
    <t xml:space="preserve">Equity cash flow to Ferrari (levered, after tax)</t>
  </si>
  <si>
    <t xml:space="preserve">Equity IRR to Ferrari (levered, after tax)</t>
  </si>
  <si>
    <t xml:space="preserve">Break-even excl. financing (€ per m²)</t>
  </si>
  <si>
    <t xml:space="preserve">Break-even incl. financing (€ per m²)</t>
  </si>
  <si>
    <t xml:space="preserve">SENSITIVITY TO AVERAGE SELLING PRICE</t>
  </si>
  <si>
    <t xml:space="preserve">Pre-tax unlevered cash flow by year</t>
  </si>
  <si>
    <t xml:space="preserve">Profit</t>
  </si>
  <si>
    <t xml:space="preserve">IRR</t>
  </si>
  <si>
    <t xml:space="preserve">Scenario 1</t>
  </si>
  <si>
    <t xml:space="preserve">Scenario 2</t>
  </si>
  <si>
    <t xml:space="preserve">Scenario 3</t>
  </si>
  <si>
    <t xml:space="preserve">Scenario 4</t>
  </si>
  <si>
    <t xml:space="preserve">LOAN TERMS</t>
  </si>
  <si>
    <t xml:space="preserve">Quarterly interest rate</t>
  </si>
  <si>
    <t xml:space="preserve">Number of quarterly instalments</t>
  </si>
  <si>
    <t xml:space="preserve">Quarterly annuity instalment</t>
  </si>
  <si>
    <t xml:space="preserve">Quarterly annuity instalment (Excel PMT check)</t>
  </si>
  <si>
    <t xml:space="preserve">Difference</t>
  </si>
  <si>
    <t xml:space="preserve">ANNUAL SUMMARY</t>
  </si>
  <si>
    <t xml:space="preserve">Opening balance</t>
  </si>
  <si>
    <t xml:space="preserve">Drawdowns</t>
  </si>
  <si>
    <t xml:space="preserve">Closing balance</t>
  </si>
  <si>
    <t xml:space="preserve">Interest expense</t>
  </si>
  <si>
    <t xml:space="preserve">Total debt service (interest + principal)</t>
  </si>
  <si>
    <t xml:space="preserve">Project cash available for debt service</t>
  </si>
  <si>
    <t xml:space="preserve">Project DSCR</t>
  </si>
  <si>
    <t xml:space="preserve">QUARTERLY ANNUITY SCHEDULE</t>
  </si>
  <si>
    <t xml:space="preserve">Quarter</t>
  </si>
  <si>
    <t xml:space="preserve">Year</t>
  </si>
  <si>
    <t xml:space="preserve">Opening</t>
  </si>
  <si>
    <t xml:space="preserve">Drawdown</t>
  </si>
  <si>
    <t xml:space="preserve">Interest</t>
  </si>
  <si>
    <t xml:space="preserve">Principal</t>
  </si>
  <si>
    <t xml:space="preserve">Instalment</t>
  </si>
  <si>
    <t xml:space="preserve">Closing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</si>
  <si>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</si>
  <si>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</si>
  <si>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</si>
  <si>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</si>
  <si>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</si>
  <si>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</si>
  <si>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</si>
  <si>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</si>
  <si>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</si>
  <si>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</si>
  <si>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</si>
  <si>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</si>
  <si>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</si>
  <si>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</si>
  <si>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</si>
  <si>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</si>
  <si>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</si>
  <si>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</si>
  <si>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</si>
  <si>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</si>
  <si>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INCOME STATEMENT</t>
  </si>
  <si>
    <t xml:space="preserve">Net revenues (automotive and lifestyle)</t>
  </si>
  <si>
    <t xml:space="preserve">Net revenues (residential project)</t>
  </si>
  <si>
    <t xml:space="preserve">Cost of sales (automotive and lifestyle)</t>
  </si>
  <si>
    <t xml:space="preserve">Cost of sales (residential project)</t>
  </si>
  <si>
    <t xml:space="preserve">SG&amp;A, R&amp;D and other operating items</t>
  </si>
  <si>
    <t xml:space="preserve">Financial expenses on existing debt</t>
  </si>
  <si>
    <t xml:space="preserve">Change in net profit vs. standalone</t>
  </si>
  <si>
    <t xml:space="preserve">BALANCE SHEET</t>
  </si>
  <si>
    <t xml:space="preserve">Non-current assets</t>
  </si>
  <si>
    <t xml:space="preserve">Inventories (automotive and lifestyle)</t>
  </si>
  <si>
    <t xml:space="preserve">Inventories (residential project under development)</t>
  </si>
  <si>
    <t xml:space="preserve">Receivables and other current assets</t>
  </si>
  <si>
    <t xml:space="preserve">Existing debt</t>
  </si>
  <si>
    <t xml:space="preserve">Project loan</t>
  </si>
  <si>
    <t xml:space="preserve">CASH FLOW STATEMENT</t>
  </si>
  <si>
    <t xml:space="preserve">Working capital and other operating items</t>
  </si>
  <si>
    <t xml:space="preserve">Change in residential project inventory</t>
  </si>
  <si>
    <t xml:space="preserve">Net change in existing debt</t>
  </si>
  <si>
    <t xml:space="preserve">Project loan repayments</t>
  </si>
  <si>
    <t xml:space="preserve">FERRARI STANDALONE</t>
  </si>
  <si>
    <t xml:space="preserve">Gross debt (incl. other financial liabilities)</t>
  </si>
  <si>
    <t xml:space="preserve">Net debt</t>
  </si>
  <si>
    <t xml:space="preserve">EBITDA / interest expense</t>
  </si>
  <si>
    <t xml:space="preserve">FERRARI WITH PROJECT</t>
  </si>
  <si>
    <t xml:space="preserve">Gross debt (incl. project loan)</t>
  </si>
  <si>
    <t xml:space="preserve">EBITDA / interest expense (incl. project loan)</t>
  </si>
  <si>
    <t xml:space="preserve">Project loan DSCR</t>
  </si>
  <si>
    <t xml:space="preserve">Group FCF / project debt service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</si>
</sst>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[=1]&quot;Yes&quot;;[=0]&quot;No&quot;;General"/>
    <numFmt numFmtId="166" formatCode="_(#,##0_);\(#,##0\);_(\–_);_(@_)"/>
    <numFmt numFmtId="167" formatCode="_(#,##0.00\x_);\(#,##0.00&quot;x)&quot;;_(\–_);_(@_)"/>
    <numFmt numFmtId="168" formatCode="_(#,##0.00%_);\(#,##0.00%\);_(\–_);_(@_)"/>
    <numFmt numFmtId="169" formatCode="_(#,##0.00_);\(#,##0.00\);_(\–_);_(@_)"/>
    <numFmt numFmtId="170" formatCode="_(#,##0.0\x_);\(#,##0.0&quot;x)&quot;;_(\–_);_(@_)"/>
    <numFmt numFmtId="171" formatCode="_(#,##0.0_);\(#,##0.0\);_(\–_);_(@_)"/>
    <numFmt numFmtId="172" formatCode="_(#,##0.0%_);\(#,##0.0%\);_(\–_);_(@_)"/>
    <numFmt numFmtId="173" formatCode="0\F"/>
    <numFmt numFmtId="174" formatCode="0"/>
    <numFmt numFmtId="175" formatCode="0\A"/>
  </numFmts>
  <fonts count="26">
    <font>
      <sz val="10"/>
      <name val="Open San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Open Sans"/>
      <family val="0"/>
      <charset val="1"/>
    </font>
    <font>
      <b val="true"/>
      <sz val="28"/>
      <color rgb="FFFFFFFF"/>
      <name val="Open Sans"/>
      <family val="0"/>
      <charset val="1"/>
    </font>
    <font>
      <sz val="14"/>
      <color rgb="FFFFFFFF"/>
      <name val="Open Sans"/>
      <family val="0"/>
      <charset val="1"/>
    </font>
    <font>
      <sz val="11"/>
      <color rgb="FFFFFFFF"/>
      <name val="Open Sans"/>
      <family val="0"/>
      <charset val="1"/>
    </font>
    <font>
      <b val="true"/>
      <sz val="18"/>
      <color rgb="FFD40000"/>
      <name val="Open Sans"/>
      <family val="0"/>
      <charset val="1"/>
    </font>
    <font>
      <b val="true"/>
      <sz val="11"/>
      <color rgb="FF000000"/>
      <name val="Open Sans"/>
      <family val="0"/>
      <charset val="1"/>
    </font>
    <font>
      <i val="true"/>
      <sz val="10"/>
      <color rgb="FF000000"/>
      <name val="Open Sans"/>
      <family val="0"/>
      <charset val="1"/>
    </font>
    <font>
      <i val="true"/>
      <sz val="9"/>
      <color rgb="FFD40000"/>
      <name val="Open Sans"/>
      <family val="0"/>
      <charset val="1"/>
    </font>
    <font>
      <b val="true"/>
      <sz val="14"/>
      <color rgb="FF000000"/>
      <name val="Open Sans"/>
      <family val="0"/>
      <charset val="1"/>
    </font>
    <font>
      <u val="single"/>
      <sz val="11"/>
      <color rgb="FFD40000"/>
      <name val="Open Sans"/>
      <family val="0"/>
      <charset val="1"/>
    </font>
    <font>
      <sz val="11"/>
      <color rgb="FF000000"/>
      <name val="Open Sans"/>
      <family val="0"/>
      <charset val="1"/>
    </font>
    <font>
      <b val="true"/>
      <sz val="11"/>
      <color rgb="FFFFFFFF"/>
      <name val="Open Sans"/>
      <family val="0"/>
      <charset val="1"/>
    </font>
    <font>
      <sz val="9"/>
      <color rgb="FFFFFFFF"/>
      <name val="Open Sans"/>
      <family val="0"/>
      <charset val="1"/>
    </font>
    <font>
      <b val="true"/>
      <sz val="14"/>
      <color rgb="FFFFFFFF"/>
      <name val="Open Sans"/>
      <family val="0"/>
      <charset val="1"/>
    </font>
    <font>
      <b val="true"/>
      <sz val="12"/>
      <color rgb="FFFFFFFF"/>
      <name val="Open Sans"/>
      <family val="0"/>
      <charset val="1"/>
    </font>
    <font>
      <i val="true"/>
      <sz val="9"/>
      <color rgb="FF000000"/>
      <name val="Open Sans"/>
      <family val="0"/>
      <charset val="1"/>
    </font>
    <font>
      <b val="true"/>
      <sz val="10"/>
      <color rgb="FF000000"/>
      <name val="Open Sans"/>
      <family val="0"/>
      <charset val="1"/>
    </font>
    <font>
      <i val="true"/>
      <sz val="8"/>
      <color rgb="FF595959"/>
      <name val="Open Sans"/>
      <family val="0"/>
      <charset val="1"/>
    </font>
    <font>
      <i val="true"/>
      <sz val="9"/>
      <color rgb="FF595959"/>
      <name val="Open Sans"/>
      <family val="0"/>
      <charset val="1"/>
    </font>
    <font>
      <sz val="11"/>
      <color theme="1"/>
      <name val="Calibri"/>
      <family val="2"/>
      <charset val="1"/>
    </font>
    <font>
      <b val="true"/>
      <sz val="9"/>
      <color rgb="FF000000"/>
      <name val="Open Sans"/>
      <family val="0"/>
      <charset val="1"/>
    </font>
    <font>
      <b val="true"/>
      <i val="true"/>
      <sz val="10"/>
      <color rgb="FF000000"/>
      <name val="Open Sa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40000"/>
        <bgColor rgb="FF9C0006"/>
      </patternFill>
    </fill>
    <fill>
      <patternFill patternType="solid">
        <fgColor rgb="FFFFF2CC"/>
        <bgColor rgb="FFFFFFFF"/>
      </patternFill>
    </fill>
    <fill>
      <patternFill patternType="solid">
        <fgColor rgb="FFFFD966"/>
        <bgColor rgb="FFFFCC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40000"/>
      </bottom>
      <diagonal/>
    </border>
    <border diagonalUp="false" diagonalDown="false">
      <left/>
      <right/>
      <top style="thin">
        <color rgb="FFD40000"/>
      </top>
      <bottom/>
      <diagonal/>
    </border>
    <border diagonalUp="false" diagonalDown="false">
      <left/>
      <right/>
      <top/>
      <bottom style="medium">
        <color rgb="FFD4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72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D4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.8"/>
    <col collapsed="false" customWidth="true" hidden="false" outlineLevel="0" max="3" min="3" style="0" width="22"/>
    <col collapsed="false" customWidth="true" hidden="false" outlineLevel="0" max="7" min="4" style="0" width="10.7"/>
    <col collapsed="false" customWidth="true" hidden="false" outlineLevel="0" max="8" min="8" style="0" width="14"/>
    <col collapsed="false" customWidth="true" hidden="false" outlineLevel="0" max="10" min="9" style="0" width="4"/>
    <col collapsed="false" customWidth="true" hidden="false" outlineLevel="0" max="11" min="11" style="0" width="44"/>
    <col collapsed="false" customWidth="true" hidden="false" outlineLevel="0" max="13" min="12" style="0" width="4"/>
    <col collapsed="false" customWidth="true" hidden="false" outlineLevel="0" max="14" min="14" style="0" width="12"/>
    <col collapsed="false" customWidth="true" hidden="false" outlineLevel="0" max="15" min="15" style="0" width="4.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customFormat="false" ht="15" hidden="false" customHeight="fals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/>
    </row>
    <row r="4" customFormat="false" ht="36" hidden="false" customHeight="true" outlineLevel="0" collapsed="false">
      <c r="A4" s="1"/>
      <c r="B4" s="2"/>
      <c r="C4" s="3" t="s">
        <v>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"/>
    </row>
    <row r="5" customFormat="false" ht="15" hidden="false" customHeight="false" outlineLevel="0" collapsed="false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</row>
    <row r="6" customFormat="false" ht="17.35" hidden="false" customHeight="false" outlineLevel="0" collapsed="false">
      <c r="A6" s="1"/>
      <c r="B6" s="2"/>
      <c r="C6" s="4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1"/>
    </row>
    <row r="7" customFormat="false" ht="15" hidden="false" customHeight="false" outlineLevel="0" collapsed="false">
      <c r="A7" s="1"/>
      <c r="B7" s="2"/>
      <c r="C7" s="5" t="s">
        <v>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customFormat="false" ht="15" hidden="false" customHeight="false" outlineLevel="0" collapsed="false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1"/>
    </row>
    <row r="9" customFormat="false" ht="15" hidden="false" customHeight="false" outlineLevel="0" collapsed="false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customFormat="false" ht="27.75" hidden="false" customHeight="true" outlineLevel="0" collapsed="false">
      <c r="A11" s="1"/>
      <c r="B11" s="1"/>
      <c r="C11" s="6" t="s">
        <v>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7" t="s">
        <v>4</v>
      </c>
      <c r="O11" s="1"/>
      <c r="P11" s="1"/>
    </row>
    <row r="12" customFormat="false" ht="15" hidden="false" customHeight="false" outlineLevel="0" collapsed="false">
      <c r="A12" s="1"/>
      <c r="B12" s="1"/>
      <c r="C12" s="8" t="s">
        <v>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9" t="s">
        <v>6</v>
      </c>
      <c r="O12" s="1"/>
      <c r="P12" s="1"/>
    </row>
    <row r="13" customFormat="false" ht="15" hidden="false" customHeight="false" outlineLevel="0" collapsed="false">
      <c r="A13" s="1"/>
      <c r="B13" s="1"/>
      <c r="C13" s="10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customFormat="false" ht="17.35" hidden="false" customHeight="false" outlineLevel="0" collapsed="false">
      <c r="A14" s="1"/>
      <c r="B14" s="1"/>
      <c r="C14" s="11" t="s">
        <v>8</v>
      </c>
      <c r="D14" s="12"/>
      <c r="E14" s="12"/>
      <c r="F14" s="12"/>
      <c r="G14" s="12"/>
      <c r="H14" s="12"/>
      <c r="I14" s="1"/>
      <c r="J14" s="1"/>
      <c r="K14" s="11" t="s">
        <v>9</v>
      </c>
      <c r="L14" s="12"/>
      <c r="M14" s="12"/>
      <c r="N14" s="12"/>
      <c r="O14" s="1"/>
      <c r="P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customFormat="false" ht="15" hidden="false" customHeight="false" outlineLevel="0" collapsed="false">
      <c r="A16" s="1"/>
      <c r="B16" s="1"/>
      <c r="C16" s="13" t="s">
        <v>10</v>
      </c>
      <c r="D16" s="1"/>
      <c r="E16" s="1"/>
      <c r="F16" s="1"/>
      <c r="G16" s="1"/>
      <c r="H16" s="1"/>
      <c r="I16" s="1"/>
      <c r="J16" s="1"/>
      <c r="K16" s="14" t="s">
        <v>11</v>
      </c>
      <c r="L16" s="1"/>
      <c r="M16" s="1"/>
      <c r="N16" s="15" t="n">
        <f aca="false">IF(SUMPRODUCT(ABS(Model!D84:L84))&lt;0.01,1,0)</f>
        <v>1</v>
      </c>
      <c r="O16" s="1"/>
      <c r="P16" s="1"/>
    </row>
    <row r="17" customFormat="false" ht="15" hidden="false" customHeight="false" outlineLevel="0" collapsed="false">
      <c r="A17" s="1"/>
      <c r="B17" s="1"/>
      <c r="C17" s="13" t="s">
        <v>12</v>
      </c>
      <c r="D17" s="1"/>
      <c r="E17" s="1"/>
      <c r="F17" s="1"/>
      <c r="G17" s="1"/>
      <c r="H17" s="1"/>
      <c r="I17" s="1"/>
      <c r="J17" s="1"/>
      <c r="K17" s="14" t="s">
        <v>13</v>
      </c>
      <c r="L17" s="1"/>
      <c r="M17" s="1"/>
      <c r="N17" s="15" t="n">
        <f aca="false">IF(SUMPRODUCT(ABS(Model!D355:L355))&lt;0.01,1,0)</f>
        <v>1</v>
      </c>
      <c r="O17" s="1"/>
      <c r="P17" s="1"/>
    </row>
    <row r="18" customFormat="false" ht="15" hidden="false" customHeight="false" outlineLevel="0" collapsed="false">
      <c r="A18" s="1"/>
      <c r="B18" s="1"/>
      <c r="C18" s="13" t="s">
        <v>14</v>
      </c>
      <c r="D18" s="1"/>
      <c r="E18" s="1"/>
      <c r="F18" s="1"/>
      <c r="G18" s="1"/>
      <c r="H18" s="1"/>
      <c r="I18" s="1"/>
      <c r="J18" s="1"/>
      <c r="K18" s="14" t="s">
        <v>15</v>
      </c>
      <c r="L18" s="1"/>
      <c r="M18" s="1"/>
      <c r="N18" s="15" t="n">
        <f aca="false">IF(MIN(Model!D67:L67,Model!D345:L345)&lt;0,1,0)</f>
        <v>0</v>
      </c>
      <c r="O18" s="1"/>
      <c r="P18" s="1"/>
    </row>
    <row r="19" customFormat="false" ht="15" hidden="false" customHeight="false" outlineLevel="0" collapsed="false">
      <c r="A19" s="1"/>
      <c r="B19" s="1"/>
      <c r="C19" s="13" t="s">
        <v>16</v>
      </c>
      <c r="D19" s="1"/>
      <c r="E19" s="1"/>
      <c r="F19" s="1"/>
      <c r="G19" s="1"/>
      <c r="H19" s="1"/>
      <c r="I19" s="1"/>
      <c r="J19" s="1"/>
      <c r="K19" s="14" t="s">
        <v>17</v>
      </c>
      <c r="L19" s="1"/>
      <c r="M19" s="1"/>
      <c r="N19" s="15" t="n">
        <f aca="false">IF(ABS(Model!F285)&lt;0.000001,1,0)</f>
        <v>1</v>
      </c>
      <c r="O19" s="1"/>
      <c r="P19" s="1"/>
    </row>
    <row r="20" customFormat="false" ht="15" hidden="false" customHeight="false" outlineLevel="0" collapsed="false">
      <c r="A20" s="1"/>
      <c r="B20" s="1"/>
      <c r="C20" s="13" t="s">
        <v>18</v>
      </c>
      <c r="D20" s="1"/>
      <c r="E20" s="1"/>
      <c r="F20" s="1"/>
      <c r="G20" s="1"/>
      <c r="H20" s="1"/>
      <c r="I20" s="1"/>
      <c r="J20" s="1"/>
      <c r="K20" s="14" t="s">
        <v>19</v>
      </c>
      <c r="L20" s="1"/>
      <c r="M20" s="1"/>
      <c r="N20" s="15" t="n">
        <f aca="false">IF(ABS(Model!J316)&lt;0.01,1,0)</f>
        <v>1</v>
      </c>
      <c r="O20" s="1"/>
      <c r="P20" s="1"/>
    </row>
    <row r="21" customFormat="false" ht="15" hidden="false" customHeight="false" outlineLevel="0" collapsed="false">
      <c r="A21" s="1"/>
      <c r="B21" s="1"/>
      <c r="C21" s="13" t="s">
        <v>20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customFormat="false" ht="15" hidden="false" customHeight="false" outlineLevel="0" collapsed="false">
      <c r="A22" s="1"/>
      <c r="B22" s="1"/>
      <c r="C22" s="13" t="s">
        <v>21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15" hidden="false" customHeight="false" outlineLevel="0" collapsed="false">
      <c r="A23" s="1"/>
      <c r="B23" s="1"/>
      <c r="C23" s="13" t="s">
        <v>22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15" hidden="false" customHeight="false" outlineLevel="0" collapsed="false">
      <c r="A24" s="1"/>
      <c r="B24" s="1"/>
      <c r="C24" s="13" t="s">
        <v>23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15" hidden="false" customHeight="false" outlineLevel="0" collapsed="false">
      <c r="A25" s="1"/>
      <c r="B25" s="1"/>
      <c r="C25" s="13" t="s">
        <v>24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customFormat="false" ht="15" hidden="false" customHeight="false" outlineLevel="0" collapsed="false">
      <c r="A26" s="1"/>
      <c r="B26" s="1"/>
      <c r="C26" s="13" t="s">
        <v>25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15" hidden="false" customHeight="false" outlineLevel="0" collapsed="false">
      <c r="A27" s="1"/>
      <c r="B27" s="1"/>
      <c r="C27" s="13" t="s">
        <v>26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15" hidden="false" customHeight="false" outlineLevel="0" collapsed="false">
      <c r="A28" s="1"/>
      <c r="B28" s="1"/>
      <c r="C28" s="13" t="s">
        <v>27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7.35" hidden="false" customHeight="false" outlineLevel="0" collapsed="false">
      <c r="A31" s="1"/>
      <c r="B31" s="1"/>
      <c r="C31" s="11" t="s">
        <v>28</v>
      </c>
      <c r="D31" s="12"/>
      <c r="E31" s="12"/>
      <c r="F31" s="12"/>
      <c r="G31" s="12"/>
      <c r="H31" s="12"/>
      <c r="I31" s="1"/>
      <c r="J31" s="1"/>
      <c r="K31" s="11" t="s">
        <v>29</v>
      </c>
      <c r="L31" s="12"/>
      <c r="M31" s="12"/>
      <c r="N31" s="12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" hidden="false" customHeight="false" outlineLevel="0" collapsed="false">
      <c r="A33" s="1"/>
      <c r="B33" s="1"/>
      <c r="C33" s="14" t="s">
        <v>30</v>
      </c>
      <c r="D33" s="1"/>
      <c r="E33" s="1"/>
      <c r="F33" s="1"/>
      <c r="G33" s="1"/>
      <c r="H33" s="16" t="n">
        <f aca="false">Model!F277</f>
        <v>1100</v>
      </c>
      <c r="I33" s="1"/>
      <c r="J33" s="1"/>
      <c r="K33" s="14" t="s">
        <v>31</v>
      </c>
      <c r="L33" s="1"/>
      <c r="M33" s="1"/>
      <c r="N33" s="17" t="n">
        <f aca="false">MAX(Model!G383:L383)</f>
        <v>0.487096354556381</v>
      </c>
      <c r="O33" s="1"/>
      <c r="P33" s="1"/>
    </row>
    <row r="34" customFormat="false" ht="15" hidden="false" customHeight="false" outlineLevel="0" collapsed="false">
      <c r="A34" s="1"/>
      <c r="B34" s="1"/>
      <c r="C34" s="14" t="s">
        <v>32</v>
      </c>
      <c r="D34" s="1"/>
      <c r="E34" s="1"/>
      <c r="F34" s="1"/>
      <c r="G34" s="1"/>
      <c r="H34" s="18" t="n">
        <f aca="false">Model!F278</f>
        <v>0.05</v>
      </c>
      <c r="I34" s="1"/>
      <c r="J34" s="1"/>
      <c r="K34" s="14" t="s">
        <v>33</v>
      </c>
      <c r="L34" s="1"/>
      <c r="M34" s="1"/>
      <c r="N34" s="17" t="n">
        <f aca="false">MAX(Model!G390:L390)</f>
        <v>0.717636824198715</v>
      </c>
      <c r="O34" s="1"/>
      <c r="P34" s="1"/>
    </row>
    <row r="35" customFormat="false" ht="15" hidden="false" customHeight="false" outlineLevel="0" collapsed="false">
      <c r="A35" s="1"/>
      <c r="B35" s="1"/>
      <c r="C35" s="14" t="s">
        <v>34</v>
      </c>
      <c r="D35" s="1"/>
      <c r="E35" s="1"/>
      <c r="F35" s="1"/>
      <c r="G35" s="1"/>
      <c r="H35" s="19" t="n">
        <f aca="false">Model!F283</f>
        <v>145.346450097481</v>
      </c>
      <c r="I35" s="1"/>
      <c r="J35" s="1"/>
      <c r="K35" s="14" t="s">
        <v>35</v>
      </c>
      <c r="L35" s="1"/>
      <c r="M35" s="1"/>
      <c r="N35" s="20" t="n">
        <f aca="false">MIN(Model!G391:L391)</f>
        <v>16.1021136791433</v>
      </c>
      <c r="O35" s="1"/>
      <c r="P35" s="1"/>
    </row>
    <row r="36" customFormat="false" ht="15" hidden="false" customHeight="false" outlineLevel="0" collapsed="false">
      <c r="A36" s="1"/>
      <c r="B36" s="1"/>
      <c r="C36" s="14" t="s">
        <v>36</v>
      </c>
      <c r="D36" s="1"/>
      <c r="E36" s="1"/>
      <c r="F36" s="1"/>
      <c r="G36" s="1"/>
      <c r="H36" s="21" t="n">
        <f aca="false">Model!F291</f>
        <v>154.0216007625</v>
      </c>
      <c r="I36" s="1"/>
      <c r="J36" s="1"/>
      <c r="K36" s="14" t="s">
        <v>37</v>
      </c>
      <c r="L36" s="1"/>
      <c r="M36" s="1"/>
      <c r="N36" s="17" t="n">
        <f aca="false">MIN(Model!G294:L294)</f>
        <v>1.18085809954213</v>
      </c>
      <c r="O36" s="1"/>
      <c r="P36" s="1"/>
    </row>
    <row r="37" customFormat="false" ht="15" hidden="false" customHeight="false" outlineLevel="0" collapsed="false">
      <c r="A37" s="1"/>
      <c r="B37" s="1"/>
      <c r="C37" s="14" t="s">
        <v>38</v>
      </c>
      <c r="D37" s="1"/>
      <c r="E37" s="1"/>
      <c r="F37" s="1"/>
      <c r="G37" s="1"/>
      <c r="H37" s="22" t="n">
        <f aca="false">Model!F262</f>
        <v>0.0853325269429002</v>
      </c>
      <c r="I37" s="1"/>
      <c r="J37" s="1"/>
      <c r="K37" s="14" t="s">
        <v>39</v>
      </c>
      <c r="L37" s="1"/>
      <c r="M37" s="1"/>
      <c r="N37" s="16" t="n">
        <f aca="false">MIN(Model!G345:L345)</f>
        <v>1822.91434808384</v>
      </c>
      <c r="O37" s="1"/>
      <c r="P37" s="1"/>
    </row>
    <row r="38" customFormat="false" ht="15" hidden="false" customHeight="false" outlineLevel="0" collapsed="false">
      <c r="A38" s="1"/>
      <c r="B38" s="1"/>
      <c r="C38" s="14" t="s">
        <v>40</v>
      </c>
      <c r="D38" s="1"/>
      <c r="E38" s="1"/>
      <c r="F38" s="1"/>
      <c r="G38" s="1"/>
      <c r="H38" s="16" t="n">
        <f aca="false">Model!F265</f>
        <v>17544.6844529167</v>
      </c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0" collapsed="false">
      <c r="A41" s="1"/>
      <c r="B41" s="2"/>
      <c r="C41" s="23" t="s">
        <v>41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1"/>
    </row>
    <row r="42" customFormat="false" ht="15" hidden="false" customHeight="false" outlineLevel="0" collapsed="false">
      <c r="A42" s="1"/>
      <c r="B42" s="2"/>
      <c r="C42" s="24" t="s">
        <v>42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1"/>
    </row>
    <row r="43" customFormat="false" ht="15" hidden="false" customHeight="false" outlineLevel="0" collapsed="false">
      <c r="A43" s="1"/>
      <c r="B43" s="2"/>
      <c r="C43" s="24" t="s">
        <v>43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1"/>
    </row>
    <row r="44" customFormat="false" ht="15" hidden="false" customHeight="false" outlineLevel="0" collapsed="false">
      <c r="A44" s="1"/>
      <c r="B44" s="2"/>
      <c r="C44" s="24" t="s">
        <v>44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1"/>
    </row>
    <row r="45" customFormat="false" ht="15" hidden="false" customHeight="false" outlineLevel="0" collapsed="false">
      <c r="A45" s="1"/>
      <c r="B45" s="2"/>
      <c r="C45" s="24" t="s">
        <v>45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1"/>
    </row>
    <row r="46" customFormat="false" ht="15" hidden="false" customHeight="false" outlineLevel="0" collapsed="false">
      <c r="A46" s="1"/>
      <c r="B46" s="2"/>
      <c r="C46" s="24" t="s">
        <v>46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1"/>
    </row>
  </sheetData>
  <conditionalFormatting sqref="N16">
    <cfRule type="expression" priority="2" aboveAverage="0" equalAverage="0" bottom="0" percent="0" rank="0" text="" dxfId="0">
      <formula>N16=0</formula>
    </cfRule>
  </conditionalFormatting>
  <conditionalFormatting sqref="N17">
    <cfRule type="expression" priority="3" aboveAverage="0" equalAverage="0" bottom="0" percent="0" rank="0" text="" dxfId="0">
      <formula>N17=0</formula>
    </cfRule>
  </conditionalFormatting>
  <conditionalFormatting sqref="N18">
    <cfRule type="expression" priority="4" aboveAverage="0" equalAverage="0" bottom="0" percent="0" rank="0" text="" dxfId="0">
      <formula>N18=1</formula>
    </cfRule>
  </conditionalFormatting>
  <conditionalFormatting sqref="N19">
    <cfRule type="expression" priority="5" aboveAverage="0" equalAverage="0" bottom="0" percent="0" rank="0" text="" dxfId="0">
      <formula>N19=0</formula>
    </cfRule>
  </conditionalFormatting>
  <conditionalFormatting sqref="N20">
    <cfRule type="expression" priority="6" aboveAverage="0" equalAverage="0" bottom="0" percent="0" rank="0" text="" dxfId="0">
      <formula>N20=0</formula>
    </cfRule>
  </conditionalFormatting>
  <hyperlinks>
    <hyperlink ref="C16" location="'Inputs'!A1" display="Inputs"/>
    <hyperlink ref="C17" location="'Model'!B3" display="Income Statement"/>
    <hyperlink ref="C18" location="'Model'!B36" display="Revenue Build: Shipments and Revenue per Unit"/>
    <hyperlink ref="C19" location="'Model'!B51" display="Balance Sheet"/>
    <hyperlink ref="C20" location="'Model'!B87" display="Cash Flow Statement"/>
    <hyperlink ref="C21" location="'Model'!B117" display="Financial Analysis: Ferrari Standalone"/>
    <hyperlink ref="C22" location="'Model'!B162" display="Working Capital Schedule"/>
    <hyperlink ref="C23" location="'Model'!B185" display="Fixed Asset Schedule: PP&amp;E and Intangible Assets"/>
    <hyperlink ref="C24" location="'Model'!B205" display="Financing Schedule: Debt, Cash and Equity"/>
    <hyperlink ref="C25" location="'Model'!B227" display="Residential Project: Ferrari Residential Complex Miami"/>
    <hyperlink ref="C26" location="'Model'!B273" display="Project Loan: Annuity Repayment Schedule"/>
    <hyperlink ref="C27" location="'Model'!B319" display="Pro-forma Statements: Ferrari with Project"/>
    <hyperlink ref="C28" location="'Model'!B376" display="Credit Metrics: Standalone vs. with Projec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5" zeroHeight="false" outlineLevelRow="1" outlineLevelCol="0"/>
  <cols>
    <col collapsed="false" customWidth="true" hidden="false" outlineLevel="0" max="1" min="1" style="0" width="2.5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5" min="4" style="0" width="2"/>
    <col collapsed="false" customWidth="true" hidden="false" outlineLevel="0" max="6" min="6" style="0" width="11"/>
    <col collapsed="false" customWidth="true" hidden="false" outlineLevel="0" max="12" min="7" style="0" width="10.5"/>
    <col collapsed="false" customWidth="true" hidden="false" outlineLevel="0" max="13" min="13" style="0" width="2"/>
    <col collapsed="false" customWidth="true" hidden="false" outlineLevel="0" max="14" min="14" style="0" width="78"/>
  </cols>
  <sheetData>
    <row r="1" customFormat="false" ht="39.75" hidden="false" customHeight="true" outlineLevel="0" collapsed="false">
      <c r="A1" s="2"/>
      <c r="B1" s="25" t="s">
        <v>47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21" hidden="false" customHeight="true" outlineLevel="0" collapsed="false">
      <c r="A3" s="1"/>
      <c r="B3" s="26" t="s">
        <v>48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"/>
      <c r="P3" s="1"/>
    </row>
    <row r="4" customFormat="false" ht="15" hidden="false" customHeight="false" outlineLevel="1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15" hidden="false" customHeight="false" outlineLevel="1" collapsed="false">
      <c r="A5" s="1"/>
      <c r="B5" s="27" t="s">
        <v>49</v>
      </c>
      <c r="C5" s="1"/>
      <c r="D5" s="1"/>
      <c r="E5" s="1"/>
      <c r="F5" s="1"/>
      <c r="G5" s="28"/>
      <c r="H5" s="28"/>
      <c r="I5" s="28"/>
      <c r="J5" s="28"/>
      <c r="K5" s="28"/>
      <c r="L5" s="29" t="s">
        <v>50</v>
      </c>
      <c r="M5" s="1"/>
      <c r="N5" s="1"/>
      <c r="O5" s="1"/>
      <c r="P5" s="1"/>
    </row>
    <row r="6" customFormat="false" ht="15" hidden="false" customHeight="false" outlineLevel="1" collapsed="false">
      <c r="A6" s="1"/>
      <c r="B6" s="1"/>
      <c r="C6" s="1"/>
      <c r="D6" s="1"/>
      <c r="E6" s="1"/>
      <c r="F6" s="30" t="s">
        <v>51</v>
      </c>
      <c r="G6" s="31" t="n">
        <v>2025</v>
      </c>
      <c r="H6" s="31" t="n">
        <v>2026</v>
      </c>
      <c r="I6" s="31" t="n">
        <v>2027</v>
      </c>
      <c r="J6" s="31" t="n">
        <v>2028</v>
      </c>
      <c r="K6" s="31" t="n">
        <v>2029</v>
      </c>
      <c r="L6" s="31" t="n">
        <v>2030</v>
      </c>
      <c r="M6" s="1"/>
      <c r="N6" s="32" t="s">
        <v>52</v>
      </c>
      <c r="O6" s="1"/>
      <c r="P6" s="1"/>
    </row>
    <row r="7" customFormat="false" ht="15" hidden="false" customHeight="false" outlineLevel="1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customFormat="false" ht="15" hidden="false" customHeight="false" outlineLevel="1" collapsed="false">
      <c r="A8" s="1"/>
      <c r="B8" s="33" t="s">
        <v>53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customFormat="false" ht="15" hidden="false" customHeight="false" outlineLevel="1" collapsed="false">
      <c r="A9" s="1"/>
      <c r="B9" s="34" t="s">
        <v>54</v>
      </c>
      <c r="C9" s="35" t="s">
        <v>55</v>
      </c>
      <c r="D9" s="1"/>
      <c r="E9" s="1"/>
      <c r="F9" s="1"/>
      <c r="G9" s="36" t="n">
        <v>0.01</v>
      </c>
      <c r="H9" s="36" t="n">
        <v>0.01</v>
      </c>
      <c r="I9" s="36" t="n">
        <v>0.01</v>
      </c>
      <c r="J9" s="36" t="n">
        <v>0.01</v>
      </c>
      <c r="K9" s="36" t="n">
        <v>0.01</v>
      </c>
      <c r="L9" s="36" t="n">
        <v>0.01</v>
      </c>
      <c r="M9" s="1"/>
      <c r="N9" s="37" t="s">
        <v>56</v>
      </c>
      <c r="O9" s="1"/>
      <c r="P9" s="1"/>
    </row>
    <row r="10" customFormat="false" ht="15" hidden="false" customHeight="false" outlineLevel="1" collapsed="false">
      <c r="A10" s="1"/>
      <c r="B10" s="34" t="s">
        <v>57</v>
      </c>
      <c r="C10" s="35" t="s">
        <v>55</v>
      </c>
      <c r="D10" s="1"/>
      <c r="E10" s="1"/>
      <c r="F10" s="1"/>
      <c r="G10" s="36" t="n">
        <v>0.02</v>
      </c>
      <c r="H10" s="36" t="n">
        <v>0.02</v>
      </c>
      <c r="I10" s="36" t="n">
        <v>0.02</v>
      </c>
      <c r="J10" s="36" t="n">
        <v>0.02</v>
      </c>
      <c r="K10" s="36" t="n">
        <v>0.02</v>
      </c>
      <c r="L10" s="36" t="n">
        <v>0.02</v>
      </c>
      <c r="M10" s="1"/>
      <c r="N10" s="37" t="s">
        <v>58</v>
      </c>
      <c r="O10" s="1"/>
      <c r="P10" s="1"/>
    </row>
    <row r="11" customFormat="false" ht="15" hidden="false" customHeight="false" outlineLevel="1" collapsed="false">
      <c r="A11" s="1"/>
      <c r="B11" s="34" t="s">
        <v>59</v>
      </c>
      <c r="C11" s="35" t="s">
        <v>55</v>
      </c>
      <c r="D11" s="1"/>
      <c r="E11" s="1"/>
      <c r="F11" s="1"/>
      <c r="G11" s="36" t="n">
        <v>0.02</v>
      </c>
      <c r="H11" s="36" t="n">
        <v>0.02</v>
      </c>
      <c r="I11" s="36" t="n">
        <v>0.02</v>
      </c>
      <c r="J11" s="36" t="n">
        <v>0.02</v>
      </c>
      <c r="K11" s="36" t="n">
        <v>0.02</v>
      </c>
      <c r="L11" s="36" t="n">
        <v>0.02</v>
      </c>
      <c r="M11" s="1"/>
      <c r="N11" s="37" t="s">
        <v>60</v>
      </c>
      <c r="O11" s="1"/>
      <c r="P11" s="1"/>
    </row>
    <row r="12" customFormat="false" ht="15" hidden="false" customHeight="false" outlineLevel="1" collapsed="false">
      <c r="A12" s="1"/>
      <c r="B12" s="34" t="s">
        <v>61</v>
      </c>
      <c r="C12" s="35" t="s">
        <v>55</v>
      </c>
      <c r="D12" s="1"/>
      <c r="E12" s="1"/>
      <c r="F12" s="1"/>
      <c r="G12" s="36" t="n">
        <v>0.01</v>
      </c>
      <c r="H12" s="36" t="n">
        <v>0.01</v>
      </c>
      <c r="I12" s="36" t="n">
        <v>0.01</v>
      </c>
      <c r="J12" s="36" t="n">
        <v>0.01</v>
      </c>
      <c r="K12" s="36" t="n">
        <v>0.01</v>
      </c>
      <c r="L12" s="36" t="n">
        <v>0.01</v>
      </c>
      <c r="M12" s="1"/>
      <c r="N12" s="37" t="s">
        <v>62</v>
      </c>
      <c r="O12" s="1"/>
      <c r="P12" s="1"/>
    </row>
    <row r="13" customFormat="false" ht="15" hidden="false" customHeight="false" outlineLevel="1" collapsed="false">
      <c r="A13" s="1"/>
      <c r="B13" s="34" t="s">
        <v>63</v>
      </c>
      <c r="C13" s="35" t="s">
        <v>55</v>
      </c>
      <c r="D13" s="1"/>
      <c r="E13" s="1"/>
      <c r="F13" s="1"/>
      <c r="G13" s="36" t="n">
        <v>0.05</v>
      </c>
      <c r="H13" s="36" t="n">
        <v>0.035</v>
      </c>
      <c r="I13" s="36" t="n">
        <v>0.035</v>
      </c>
      <c r="J13" s="36" t="n">
        <v>0.035</v>
      </c>
      <c r="K13" s="36" t="n">
        <v>0.035</v>
      </c>
      <c r="L13" s="36" t="n">
        <v>0.035</v>
      </c>
      <c r="M13" s="1"/>
      <c r="N13" s="37" t="s">
        <v>64</v>
      </c>
      <c r="O13" s="1"/>
      <c r="P13" s="1"/>
    </row>
    <row r="14" customFormat="false" ht="15" hidden="false" customHeight="false" outlineLevel="1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customFormat="false" ht="15" hidden="false" customHeight="false" outlineLevel="1" collapsed="false">
      <c r="A15" s="1"/>
      <c r="B15" s="33" t="s">
        <v>65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customFormat="false" ht="15" hidden="false" customHeight="false" outlineLevel="1" collapsed="false">
      <c r="A16" s="1"/>
      <c r="B16" s="34" t="s">
        <v>66</v>
      </c>
      <c r="C16" s="35" t="s">
        <v>67</v>
      </c>
      <c r="D16" s="1"/>
      <c r="E16" s="1"/>
      <c r="F16" s="1"/>
      <c r="G16" s="36" t="n">
        <v>0.495</v>
      </c>
      <c r="H16" s="36" t="n">
        <v>0.493</v>
      </c>
      <c r="I16" s="36" t="n">
        <v>0.491</v>
      </c>
      <c r="J16" s="36" t="n">
        <v>0.489</v>
      </c>
      <c r="K16" s="36" t="n">
        <v>0.487</v>
      </c>
      <c r="L16" s="36" t="n">
        <v>0.485</v>
      </c>
      <c r="M16" s="1"/>
      <c r="N16" s="37" t="s">
        <v>68</v>
      </c>
      <c r="O16" s="1"/>
      <c r="P16" s="1"/>
    </row>
    <row r="17" customFormat="false" ht="15" hidden="false" customHeight="false" outlineLevel="1" collapsed="false">
      <c r="A17" s="1"/>
      <c r="B17" s="34" t="s">
        <v>69</v>
      </c>
      <c r="C17" s="35" t="s">
        <v>67</v>
      </c>
      <c r="D17" s="1"/>
      <c r="E17" s="1"/>
      <c r="F17" s="1"/>
      <c r="G17" s="36" t="n">
        <v>0.084</v>
      </c>
      <c r="H17" s="36" t="n">
        <v>0.084</v>
      </c>
      <c r="I17" s="36" t="n">
        <v>0.084</v>
      </c>
      <c r="J17" s="36" t="n">
        <v>0.084</v>
      </c>
      <c r="K17" s="36" t="n">
        <v>0.084</v>
      </c>
      <c r="L17" s="36" t="n">
        <v>0.084</v>
      </c>
      <c r="M17" s="1"/>
      <c r="N17" s="37" t="s">
        <v>70</v>
      </c>
      <c r="O17" s="1"/>
      <c r="P17" s="1"/>
    </row>
    <row r="18" customFormat="false" ht="15" hidden="false" customHeight="false" outlineLevel="1" collapsed="false">
      <c r="A18" s="1"/>
      <c r="B18" s="34" t="s">
        <v>71</v>
      </c>
      <c r="C18" s="35" t="s">
        <v>67</v>
      </c>
      <c r="D18" s="1"/>
      <c r="E18" s="1"/>
      <c r="F18" s="1"/>
      <c r="G18" s="36" t="n">
        <v>0.132</v>
      </c>
      <c r="H18" s="36" t="n">
        <v>0.132</v>
      </c>
      <c r="I18" s="36" t="n">
        <v>0.132</v>
      </c>
      <c r="J18" s="36" t="n">
        <v>0.132</v>
      </c>
      <c r="K18" s="36" t="n">
        <v>0.132</v>
      </c>
      <c r="L18" s="36" t="n">
        <v>0.132</v>
      </c>
      <c r="M18" s="1"/>
      <c r="N18" s="37" t="s">
        <v>72</v>
      </c>
      <c r="O18" s="1"/>
      <c r="P18" s="1"/>
    </row>
    <row r="19" customFormat="false" ht="15" hidden="false" customHeight="false" outlineLevel="1" collapsed="false">
      <c r="A19" s="1"/>
      <c r="B19" s="34" t="s">
        <v>73</v>
      </c>
      <c r="C19" s="35" t="s">
        <v>67</v>
      </c>
      <c r="D19" s="1"/>
      <c r="E19" s="1"/>
      <c r="F19" s="1"/>
      <c r="G19" s="36" t="n">
        <v>0.002</v>
      </c>
      <c r="H19" s="36" t="n">
        <v>0.002</v>
      </c>
      <c r="I19" s="36" t="n">
        <v>0.002</v>
      </c>
      <c r="J19" s="36" t="n">
        <v>0.002</v>
      </c>
      <c r="K19" s="36" t="n">
        <v>0.002</v>
      </c>
      <c r="L19" s="36" t="n">
        <v>0.002</v>
      </c>
      <c r="M19" s="1"/>
      <c r="N19" s="37" t="s">
        <v>74</v>
      </c>
      <c r="O19" s="1"/>
      <c r="P19" s="1"/>
    </row>
    <row r="20" customFormat="false" ht="15" hidden="false" customHeight="false" outlineLevel="1" collapsed="false">
      <c r="A20" s="1"/>
      <c r="B20" s="34" t="s">
        <v>75</v>
      </c>
      <c r="C20" s="35" t="s">
        <v>76</v>
      </c>
      <c r="D20" s="1"/>
      <c r="E20" s="1"/>
      <c r="F20" s="1"/>
      <c r="G20" s="38" t="n">
        <v>8</v>
      </c>
      <c r="H20" s="38" t="n">
        <v>8</v>
      </c>
      <c r="I20" s="38" t="n">
        <v>8</v>
      </c>
      <c r="J20" s="38" t="n">
        <v>8</v>
      </c>
      <c r="K20" s="38" t="n">
        <v>8</v>
      </c>
      <c r="L20" s="38" t="n">
        <v>8</v>
      </c>
      <c r="M20" s="1"/>
      <c r="N20" s="37" t="s">
        <v>77</v>
      </c>
      <c r="O20" s="1"/>
      <c r="P20" s="1"/>
    </row>
    <row r="21" customFormat="false" ht="15" hidden="false" customHeight="false" outlineLevel="1" collapsed="false">
      <c r="A21" s="1"/>
      <c r="B21" s="34" t="s">
        <v>78</v>
      </c>
      <c r="C21" s="35" t="s">
        <v>79</v>
      </c>
      <c r="D21" s="1"/>
      <c r="E21" s="1"/>
      <c r="F21" s="1"/>
      <c r="G21" s="36" t="n">
        <v>0.2</v>
      </c>
      <c r="H21" s="36" t="n">
        <v>0.2</v>
      </c>
      <c r="I21" s="36" t="n">
        <v>0.2</v>
      </c>
      <c r="J21" s="36" t="n">
        <v>0.2</v>
      </c>
      <c r="K21" s="36" t="n">
        <v>0.2</v>
      </c>
      <c r="L21" s="36" t="n">
        <v>0.2</v>
      </c>
      <c r="M21" s="1"/>
      <c r="N21" s="37" t="s">
        <v>80</v>
      </c>
      <c r="O21" s="1"/>
      <c r="P21" s="1"/>
    </row>
    <row r="22" customFormat="false" ht="15" hidden="false" customHeight="false" outlineLevel="1" collapsed="false">
      <c r="A22" s="1"/>
      <c r="B22" s="34" t="s">
        <v>81</v>
      </c>
      <c r="C22" s="35" t="s">
        <v>82</v>
      </c>
      <c r="D22" s="1"/>
      <c r="E22" s="1"/>
      <c r="F22" s="1"/>
      <c r="G22" s="36" t="n">
        <v>0.003</v>
      </c>
      <c r="H22" s="36" t="n">
        <v>0.003</v>
      </c>
      <c r="I22" s="36" t="n">
        <v>0.003</v>
      </c>
      <c r="J22" s="36" t="n">
        <v>0.003</v>
      </c>
      <c r="K22" s="36" t="n">
        <v>0.003</v>
      </c>
      <c r="L22" s="36" t="n">
        <v>0.003</v>
      </c>
      <c r="M22" s="1"/>
      <c r="N22" s="37" t="s">
        <v>83</v>
      </c>
      <c r="O22" s="1"/>
      <c r="P22" s="1"/>
    </row>
    <row r="23" customFormat="false" ht="15" hidden="false" customHeight="false" outlineLevel="1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15" hidden="false" customHeight="false" outlineLevel="1" collapsed="false">
      <c r="A24" s="1"/>
      <c r="B24" s="33" t="s">
        <v>84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15" hidden="false" customHeight="false" outlineLevel="1" collapsed="false">
      <c r="A25" s="1"/>
      <c r="B25" s="34" t="s">
        <v>85</v>
      </c>
      <c r="C25" s="35" t="s">
        <v>86</v>
      </c>
      <c r="D25" s="1"/>
      <c r="E25" s="1"/>
      <c r="F25" s="1"/>
      <c r="G25" s="39" t="n">
        <v>19</v>
      </c>
      <c r="H25" s="39" t="n">
        <v>19</v>
      </c>
      <c r="I25" s="39" t="n">
        <v>19</v>
      </c>
      <c r="J25" s="39" t="n">
        <v>19</v>
      </c>
      <c r="K25" s="39" t="n">
        <v>19</v>
      </c>
      <c r="L25" s="39" t="n">
        <v>19</v>
      </c>
      <c r="M25" s="1"/>
      <c r="N25" s="37" t="s">
        <v>87</v>
      </c>
      <c r="O25" s="1"/>
      <c r="P25" s="1"/>
    </row>
    <row r="26" customFormat="false" ht="15" hidden="false" customHeight="false" outlineLevel="1" collapsed="false">
      <c r="A26" s="1"/>
      <c r="B26" s="34" t="s">
        <v>88</v>
      </c>
      <c r="C26" s="35" t="s">
        <v>86</v>
      </c>
      <c r="D26" s="1"/>
      <c r="E26" s="1"/>
      <c r="F26" s="1"/>
      <c r="G26" s="39" t="n">
        <v>119</v>
      </c>
      <c r="H26" s="39" t="n">
        <v>119</v>
      </c>
      <c r="I26" s="39" t="n">
        <v>119</v>
      </c>
      <c r="J26" s="39" t="n">
        <v>119</v>
      </c>
      <c r="K26" s="39" t="n">
        <v>119</v>
      </c>
      <c r="L26" s="39" t="n">
        <v>119</v>
      </c>
      <c r="M26" s="1"/>
      <c r="N26" s="37" t="s">
        <v>89</v>
      </c>
      <c r="O26" s="1"/>
      <c r="P26" s="1"/>
    </row>
    <row r="27" customFormat="false" ht="15" hidden="false" customHeight="false" outlineLevel="1" collapsed="false">
      <c r="A27" s="1"/>
      <c r="B27" s="34" t="s">
        <v>90</v>
      </c>
      <c r="C27" s="35" t="s">
        <v>86</v>
      </c>
      <c r="D27" s="1"/>
      <c r="E27" s="1"/>
      <c r="F27" s="1"/>
      <c r="G27" s="39" t="n">
        <v>104</v>
      </c>
      <c r="H27" s="39" t="n">
        <v>104</v>
      </c>
      <c r="I27" s="39" t="n">
        <v>104</v>
      </c>
      <c r="J27" s="39" t="n">
        <v>104</v>
      </c>
      <c r="K27" s="39" t="n">
        <v>104</v>
      </c>
      <c r="L27" s="39" t="n">
        <v>104</v>
      </c>
      <c r="M27" s="1"/>
      <c r="N27" s="37" t="s">
        <v>91</v>
      </c>
      <c r="O27" s="1"/>
      <c r="P27" s="1"/>
    </row>
    <row r="28" customFormat="false" ht="15" hidden="false" customHeight="false" outlineLevel="1" collapsed="false">
      <c r="A28" s="1"/>
      <c r="B28" s="34" t="s">
        <v>92</v>
      </c>
      <c r="C28" s="35" t="s">
        <v>67</v>
      </c>
      <c r="D28" s="1"/>
      <c r="E28" s="1"/>
      <c r="F28" s="1"/>
      <c r="G28" s="36" t="n">
        <v>0.249</v>
      </c>
      <c r="H28" s="36" t="n">
        <v>0.249</v>
      </c>
      <c r="I28" s="36" t="n">
        <v>0.249</v>
      </c>
      <c r="J28" s="36" t="n">
        <v>0.249</v>
      </c>
      <c r="K28" s="36" t="n">
        <v>0.249</v>
      </c>
      <c r="L28" s="36" t="n">
        <v>0.249</v>
      </c>
      <c r="M28" s="1"/>
      <c r="N28" s="37" t="s">
        <v>93</v>
      </c>
      <c r="O28" s="1"/>
      <c r="P28" s="1"/>
    </row>
    <row r="29" customFormat="false" ht="15" hidden="false" customHeight="false" outlineLevel="1" collapsed="false">
      <c r="A29" s="1"/>
      <c r="B29" s="34" t="s">
        <v>94</v>
      </c>
      <c r="C29" s="35" t="s">
        <v>67</v>
      </c>
      <c r="D29" s="1"/>
      <c r="E29" s="1"/>
      <c r="F29" s="1"/>
      <c r="G29" s="36" t="n">
        <v>0.021</v>
      </c>
      <c r="H29" s="36" t="n">
        <v>0.021</v>
      </c>
      <c r="I29" s="36" t="n">
        <v>0.021</v>
      </c>
      <c r="J29" s="36" t="n">
        <v>0.021</v>
      </c>
      <c r="K29" s="36" t="n">
        <v>0.021</v>
      </c>
      <c r="L29" s="36" t="n">
        <v>0.021</v>
      </c>
      <c r="M29" s="1"/>
      <c r="N29" s="37" t="s">
        <v>95</v>
      </c>
      <c r="O29" s="1"/>
      <c r="P29" s="1"/>
    </row>
    <row r="30" customFormat="false" ht="15" hidden="false" customHeight="false" outlineLevel="1" collapsed="false">
      <c r="A30" s="1"/>
      <c r="B30" s="34" t="s">
        <v>96</v>
      </c>
      <c r="C30" s="35" t="s">
        <v>67</v>
      </c>
      <c r="D30" s="1"/>
      <c r="E30" s="1"/>
      <c r="F30" s="1"/>
      <c r="G30" s="36" t="n">
        <v>0.166</v>
      </c>
      <c r="H30" s="36" t="n">
        <v>0.166</v>
      </c>
      <c r="I30" s="36" t="n">
        <v>0.166</v>
      </c>
      <c r="J30" s="36" t="n">
        <v>0.166</v>
      </c>
      <c r="K30" s="36" t="n">
        <v>0.166</v>
      </c>
      <c r="L30" s="36" t="n">
        <v>0.166</v>
      </c>
      <c r="M30" s="1"/>
      <c r="N30" s="37" t="s">
        <v>97</v>
      </c>
      <c r="O30" s="1"/>
      <c r="P30" s="1"/>
    </row>
    <row r="31" customFormat="false" ht="15" hidden="false" customHeight="false" outlineLevel="1" collapsed="false">
      <c r="A31" s="1"/>
      <c r="B31" s="34" t="s">
        <v>98</v>
      </c>
      <c r="C31" s="35" t="s">
        <v>67</v>
      </c>
      <c r="D31" s="1"/>
      <c r="E31" s="1"/>
      <c r="F31" s="1"/>
      <c r="G31" s="36" t="n">
        <v>0.031</v>
      </c>
      <c r="H31" s="36" t="n">
        <v>0.031</v>
      </c>
      <c r="I31" s="36" t="n">
        <v>0.031</v>
      </c>
      <c r="J31" s="36" t="n">
        <v>0.031</v>
      </c>
      <c r="K31" s="36" t="n">
        <v>0.031</v>
      </c>
      <c r="L31" s="36" t="n">
        <v>0.031</v>
      </c>
      <c r="M31" s="1"/>
      <c r="N31" s="37" t="s">
        <v>99</v>
      </c>
      <c r="O31" s="1"/>
      <c r="P31" s="1"/>
    </row>
    <row r="32" customFormat="false" ht="15" hidden="false" customHeight="false" outlineLevel="1" collapsed="false">
      <c r="A32" s="1"/>
      <c r="B32" s="34" t="s">
        <v>100</v>
      </c>
      <c r="C32" s="35" t="s">
        <v>86</v>
      </c>
      <c r="D32" s="1"/>
      <c r="E32" s="1"/>
      <c r="F32" s="39" t="n">
        <v>365</v>
      </c>
      <c r="G32" s="1"/>
      <c r="H32" s="1"/>
      <c r="I32" s="1"/>
      <c r="J32" s="1"/>
      <c r="K32" s="1"/>
      <c r="L32" s="1"/>
      <c r="M32" s="1"/>
      <c r="N32" s="37"/>
      <c r="O32" s="1"/>
      <c r="P32" s="1"/>
    </row>
    <row r="33" customFormat="false" ht="15" hidden="false" customHeight="false" outlineLevel="1" collapsed="false">
      <c r="A33" s="1"/>
      <c r="B33" s="40" t="s">
        <v>101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" hidden="false" customHeight="false" outlineLevel="1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1" collapsed="false">
      <c r="A35" s="1"/>
      <c r="B35" s="33" t="s">
        <v>102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1" collapsed="false">
      <c r="A36" s="1"/>
      <c r="B36" s="34" t="s">
        <v>103</v>
      </c>
      <c r="C36" s="35" t="s">
        <v>67</v>
      </c>
      <c r="D36" s="1"/>
      <c r="E36" s="1"/>
      <c r="F36" s="1"/>
      <c r="G36" s="36" t="n">
        <v>0.058</v>
      </c>
      <c r="H36" s="36" t="n">
        <v>0.058</v>
      </c>
      <c r="I36" s="36" t="n">
        <v>0.058</v>
      </c>
      <c r="J36" s="36" t="n">
        <v>0.058</v>
      </c>
      <c r="K36" s="36" t="n">
        <v>0.058</v>
      </c>
      <c r="L36" s="36" t="n">
        <v>0.058</v>
      </c>
      <c r="M36" s="1"/>
      <c r="N36" s="37" t="s">
        <v>104</v>
      </c>
      <c r="O36" s="1"/>
      <c r="P36" s="1"/>
    </row>
    <row r="37" customFormat="false" ht="15" hidden="false" customHeight="false" outlineLevel="1" collapsed="false">
      <c r="A37" s="1"/>
      <c r="B37" s="34" t="s">
        <v>105</v>
      </c>
      <c r="C37" s="35" t="s">
        <v>67</v>
      </c>
      <c r="D37" s="1"/>
      <c r="E37" s="1"/>
      <c r="F37" s="1"/>
      <c r="G37" s="36" t="n">
        <v>0.057</v>
      </c>
      <c r="H37" s="36" t="n">
        <v>0.057</v>
      </c>
      <c r="I37" s="36" t="n">
        <v>0.057</v>
      </c>
      <c r="J37" s="36" t="n">
        <v>0.057</v>
      </c>
      <c r="K37" s="36" t="n">
        <v>0.057</v>
      </c>
      <c r="L37" s="36" t="n">
        <v>0.057</v>
      </c>
      <c r="M37" s="1"/>
      <c r="N37" s="37" t="s">
        <v>106</v>
      </c>
      <c r="O37" s="1"/>
      <c r="P37" s="1"/>
    </row>
    <row r="38" customFormat="false" ht="15" hidden="false" customHeight="false" outlineLevel="1" collapsed="false">
      <c r="A38" s="1"/>
      <c r="B38" s="34" t="s">
        <v>107</v>
      </c>
      <c r="C38" s="35" t="s">
        <v>108</v>
      </c>
      <c r="D38" s="1"/>
      <c r="E38" s="1"/>
      <c r="F38" s="1"/>
      <c r="G38" s="36" t="n">
        <v>0.145</v>
      </c>
      <c r="H38" s="36" t="n">
        <v>0.145</v>
      </c>
      <c r="I38" s="36" t="n">
        <v>0.145</v>
      </c>
      <c r="J38" s="36" t="n">
        <v>0.145</v>
      </c>
      <c r="K38" s="36" t="n">
        <v>0.145</v>
      </c>
      <c r="L38" s="36" t="n">
        <v>0.145</v>
      </c>
      <c r="M38" s="1"/>
      <c r="N38" s="37" t="s">
        <v>109</v>
      </c>
      <c r="O38" s="1"/>
      <c r="P38" s="1"/>
    </row>
    <row r="39" customFormat="false" ht="15" hidden="false" customHeight="false" outlineLevel="1" collapsed="false">
      <c r="A39" s="1"/>
      <c r="B39" s="34" t="s">
        <v>110</v>
      </c>
      <c r="C39" s="35" t="s">
        <v>111</v>
      </c>
      <c r="D39" s="1"/>
      <c r="E39" s="1"/>
      <c r="F39" s="1"/>
      <c r="G39" s="36" t="n">
        <v>0.268</v>
      </c>
      <c r="H39" s="36" t="n">
        <v>0.268</v>
      </c>
      <c r="I39" s="36" t="n">
        <v>0.268</v>
      </c>
      <c r="J39" s="36" t="n">
        <v>0.268</v>
      </c>
      <c r="K39" s="36" t="n">
        <v>0.268</v>
      </c>
      <c r="L39" s="36" t="n">
        <v>0.268</v>
      </c>
      <c r="M39" s="1"/>
      <c r="N39" s="37" t="s">
        <v>112</v>
      </c>
      <c r="O39" s="1"/>
      <c r="P39" s="1"/>
    </row>
    <row r="40" customFormat="false" ht="15" hidden="false" customHeight="false" outlineLevel="1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1" collapsed="false">
      <c r="A41" s="1"/>
      <c r="B41" s="33" t="s">
        <v>113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5" hidden="false" customHeight="false" outlineLevel="1" collapsed="false">
      <c r="A42" s="1"/>
      <c r="B42" s="34" t="s">
        <v>114</v>
      </c>
      <c r="C42" s="35" t="s">
        <v>76</v>
      </c>
      <c r="D42" s="1"/>
      <c r="E42" s="1"/>
      <c r="F42" s="1"/>
      <c r="G42" s="39" t="n">
        <v>0</v>
      </c>
      <c r="H42" s="39" t="n">
        <v>0</v>
      </c>
      <c r="I42" s="39" t="n">
        <v>0</v>
      </c>
      <c r="J42" s="39" t="n">
        <v>0</v>
      </c>
      <c r="K42" s="39" t="n">
        <v>0</v>
      </c>
      <c r="L42" s="39" t="n">
        <v>0</v>
      </c>
      <c r="M42" s="1"/>
      <c r="N42" s="37" t="s">
        <v>115</v>
      </c>
      <c r="O42" s="1"/>
      <c r="P42" s="1"/>
    </row>
    <row r="43" customFormat="false" ht="15" hidden="false" customHeight="false" outlineLevel="1" collapsed="false">
      <c r="A43" s="1"/>
      <c r="B43" s="34" t="s">
        <v>116</v>
      </c>
      <c r="C43" s="35" t="s">
        <v>117</v>
      </c>
      <c r="D43" s="1"/>
      <c r="E43" s="1"/>
      <c r="F43" s="1"/>
      <c r="G43" s="36" t="n">
        <v>0.044</v>
      </c>
      <c r="H43" s="36" t="n">
        <v>0.044</v>
      </c>
      <c r="I43" s="36" t="n">
        <v>0.044</v>
      </c>
      <c r="J43" s="36" t="n">
        <v>0.044</v>
      </c>
      <c r="K43" s="36" t="n">
        <v>0.044</v>
      </c>
      <c r="L43" s="36" t="n">
        <v>0.044</v>
      </c>
      <c r="M43" s="1"/>
      <c r="N43" s="37" t="s">
        <v>118</v>
      </c>
      <c r="O43" s="1"/>
      <c r="P43" s="1"/>
    </row>
    <row r="44" customFormat="false" ht="15" hidden="false" customHeight="false" outlineLevel="1" collapsed="false">
      <c r="A44" s="1"/>
      <c r="B44" s="34" t="s">
        <v>119</v>
      </c>
      <c r="C44" s="35" t="s">
        <v>120</v>
      </c>
      <c r="D44" s="1"/>
      <c r="E44" s="1"/>
      <c r="F44" s="1"/>
      <c r="G44" s="36" t="n">
        <v>0.02</v>
      </c>
      <c r="H44" s="36" t="n">
        <v>0.02</v>
      </c>
      <c r="I44" s="36" t="n">
        <v>0.02</v>
      </c>
      <c r="J44" s="36" t="n">
        <v>0.02</v>
      </c>
      <c r="K44" s="36" t="n">
        <v>0.02</v>
      </c>
      <c r="L44" s="36" t="n">
        <v>0.02</v>
      </c>
      <c r="M44" s="1"/>
      <c r="N44" s="37" t="s">
        <v>121</v>
      </c>
      <c r="O44" s="1"/>
      <c r="P44" s="1"/>
    </row>
    <row r="45" customFormat="false" ht="15" hidden="false" customHeight="false" outlineLevel="1" collapsed="false">
      <c r="A45" s="1"/>
      <c r="B45" s="34" t="s">
        <v>122</v>
      </c>
      <c r="C45" s="35" t="s">
        <v>123</v>
      </c>
      <c r="D45" s="1"/>
      <c r="E45" s="1"/>
      <c r="F45" s="1"/>
      <c r="G45" s="36" t="n">
        <v>0.35</v>
      </c>
      <c r="H45" s="36" t="n">
        <v>0.35</v>
      </c>
      <c r="I45" s="36" t="n">
        <v>0.4</v>
      </c>
      <c r="J45" s="36" t="n">
        <v>0.4</v>
      </c>
      <c r="K45" s="36" t="n">
        <v>0.4</v>
      </c>
      <c r="L45" s="36" t="n">
        <v>0.4</v>
      </c>
      <c r="M45" s="1"/>
      <c r="N45" s="37" t="s">
        <v>124</v>
      </c>
      <c r="O45" s="1"/>
      <c r="P45" s="1"/>
    </row>
    <row r="46" customFormat="false" ht="15" hidden="false" customHeight="false" outlineLevel="1" collapsed="false">
      <c r="A46" s="1"/>
      <c r="B46" s="34" t="s">
        <v>125</v>
      </c>
      <c r="C46" s="35" t="s">
        <v>76</v>
      </c>
      <c r="D46" s="1"/>
      <c r="E46" s="1"/>
      <c r="F46" s="1"/>
      <c r="G46" s="39" t="n">
        <v>500</v>
      </c>
      <c r="H46" s="39" t="n">
        <v>700</v>
      </c>
      <c r="I46" s="39" t="n">
        <v>700</v>
      </c>
      <c r="J46" s="39" t="n">
        <v>700</v>
      </c>
      <c r="K46" s="39" t="n">
        <v>700</v>
      </c>
      <c r="L46" s="39" t="n">
        <v>700</v>
      </c>
      <c r="M46" s="1"/>
      <c r="N46" s="37" t="s">
        <v>126</v>
      </c>
      <c r="O46" s="1"/>
      <c r="P46" s="1"/>
    </row>
    <row r="47" customFormat="false" ht="15" hidden="false" customHeight="false" outlineLevel="1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5" hidden="false" customHeight="false" outlineLevel="1" collapsed="false">
      <c r="A48" s="1"/>
      <c r="B48" s="33" t="s">
        <v>127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5" hidden="false" customHeight="false" outlineLevel="1" collapsed="false">
      <c r="A49" s="1"/>
      <c r="B49" s="34" t="s">
        <v>128</v>
      </c>
      <c r="C49" s="35" t="s">
        <v>129</v>
      </c>
      <c r="D49" s="1"/>
      <c r="E49" s="1"/>
      <c r="F49" s="39" t="n">
        <v>90000</v>
      </c>
      <c r="G49" s="1"/>
      <c r="H49" s="1"/>
      <c r="I49" s="1"/>
      <c r="J49" s="1"/>
      <c r="K49" s="1"/>
      <c r="L49" s="1"/>
      <c r="M49" s="1"/>
      <c r="N49" s="37" t="s">
        <v>130</v>
      </c>
      <c r="O49" s="1"/>
      <c r="P49" s="1"/>
    </row>
    <row r="50" customFormat="false" ht="15" hidden="false" customHeight="false" outlineLevel="1" collapsed="false">
      <c r="A50" s="1"/>
      <c r="B50" s="34" t="s">
        <v>131</v>
      </c>
      <c r="C50" s="35" t="s">
        <v>132</v>
      </c>
      <c r="D50" s="1"/>
      <c r="E50" s="1"/>
      <c r="F50" s="39" t="n">
        <v>282</v>
      </c>
      <c r="G50" s="1"/>
      <c r="H50" s="1"/>
      <c r="I50" s="1"/>
      <c r="J50" s="1"/>
      <c r="K50" s="1"/>
      <c r="L50" s="1"/>
      <c r="M50" s="1"/>
      <c r="N50" s="37" t="s">
        <v>130</v>
      </c>
      <c r="O50" s="1"/>
      <c r="P50" s="1"/>
    </row>
    <row r="51" customFormat="false" ht="15" hidden="false" customHeight="false" outlineLevel="1" collapsed="false">
      <c r="A51" s="1"/>
      <c r="B51" s="34" t="s">
        <v>133</v>
      </c>
      <c r="C51" s="35" t="s">
        <v>134</v>
      </c>
      <c r="D51" s="1"/>
      <c r="E51" s="1"/>
      <c r="F51" s="39" t="n">
        <v>20000</v>
      </c>
      <c r="G51" s="1"/>
      <c r="H51" s="1"/>
      <c r="I51" s="1"/>
      <c r="J51" s="1"/>
      <c r="K51" s="1"/>
      <c r="L51" s="1"/>
      <c r="M51" s="1"/>
      <c r="N51" s="37" t="s">
        <v>135</v>
      </c>
      <c r="O51" s="1"/>
      <c r="P51" s="1"/>
    </row>
    <row r="52" customFormat="false" ht="15" hidden="false" customHeight="false" outlineLevel="1" collapsed="false">
      <c r="A52" s="1"/>
      <c r="B52" s="34" t="s">
        <v>136</v>
      </c>
      <c r="C52" s="35" t="s">
        <v>79</v>
      </c>
      <c r="D52" s="1"/>
      <c r="E52" s="1"/>
      <c r="F52" s="36" t="n">
        <v>0.253</v>
      </c>
      <c r="G52" s="1"/>
      <c r="H52" s="1"/>
      <c r="I52" s="1"/>
      <c r="J52" s="1"/>
      <c r="K52" s="1"/>
      <c r="L52" s="1"/>
      <c r="M52" s="1"/>
      <c r="N52" s="37" t="s">
        <v>137</v>
      </c>
      <c r="O52" s="1"/>
      <c r="P52" s="1"/>
    </row>
    <row r="53" customFormat="false" ht="15" hidden="false" customHeight="false" outlineLevel="1" collapsed="false">
      <c r="A53" s="1"/>
      <c r="B53" s="34" t="s">
        <v>138</v>
      </c>
      <c r="C53" s="35" t="s">
        <v>76</v>
      </c>
      <c r="D53" s="1"/>
      <c r="E53" s="1"/>
      <c r="F53" s="1"/>
      <c r="G53" s="38" t="n">
        <v>237.5</v>
      </c>
      <c r="H53" s="38" t="n">
        <v>437.5</v>
      </c>
      <c r="I53" s="38" t="n">
        <v>437.5</v>
      </c>
      <c r="J53" s="38" t="n">
        <v>312.5</v>
      </c>
      <c r="K53" s="38" t="n">
        <v>0</v>
      </c>
      <c r="L53" s="38" t="n">
        <v>0</v>
      </c>
      <c r="M53" s="1"/>
      <c r="N53" s="37" t="s">
        <v>139</v>
      </c>
      <c r="O53" s="1"/>
      <c r="P53" s="1"/>
    </row>
    <row r="54" customFormat="false" ht="15" hidden="false" customHeight="false" outlineLevel="1" collapsed="false">
      <c r="A54" s="1"/>
      <c r="B54" s="34" t="s">
        <v>140</v>
      </c>
      <c r="C54" s="35" t="s">
        <v>76</v>
      </c>
      <c r="D54" s="1"/>
      <c r="E54" s="1"/>
      <c r="F54" s="1"/>
      <c r="G54" s="38" t="n">
        <v>0</v>
      </c>
      <c r="H54" s="38" t="n">
        <v>350</v>
      </c>
      <c r="I54" s="38" t="n">
        <v>437.5</v>
      </c>
      <c r="J54" s="38" t="n">
        <v>312.5</v>
      </c>
      <c r="K54" s="38" t="n">
        <v>0</v>
      </c>
      <c r="L54" s="38" t="n">
        <v>0</v>
      </c>
      <c r="M54" s="1"/>
      <c r="N54" s="37" t="s">
        <v>141</v>
      </c>
      <c r="O54" s="1"/>
      <c r="P54" s="1"/>
    </row>
    <row r="55" customFormat="false" ht="15" hidden="false" customHeight="false" outlineLevel="1" collapsed="false">
      <c r="A55" s="1"/>
      <c r="B55" s="34" t="s">
        <v>142</v>
      </c>
      <c r="C55" s="35" t="s">
        <v>143</v>
      </c>
      <c r="D55" s="1"/>
      <c r="E55" s="1"/>
      <c r="F55" s="1"/>
      <c r="G55" s="36" t="n">
        <v>0</v>
      </c>
      <c r="H55" s="36" t="n">
        <v>0</v>
      </c>
      <c r="I55" s="36" t="n">
        <v>0</v>
      </c>
      <c r="J55" s="36" t="n">
        <v>0</v>
      </c>
      <c r="K55" s="36" t="n">
        <v>0.6</v>
      </c>
      <c r="L55" s="36" t="n">
        <v>0.4</v>
      </c>
      <c r="M55" s="1"/>
      <c r="N55" s="37" t="s">
        <v>144</v>
      </c>
      <c r="O55" s="1"/>
      <c r="P55" s="1"/>
    </row>
    <row r="56" customFormat="false" ht="15" hidden="false" customHeight="false" outlineLevel="1" collapsed="false">
      <c r="A56" s="1"/>
      <c r="B56" s="34" t="s">
        <v>145</v>
      </c>
      <c r="C56" s="35" t="s">
        <v>76</v>
      </c>
      <c r="D56" s="1"/>
      <c r="E56" s="1"/>
      <c r="F56" s="38" t="n">
        <f aca="false">SUM(G53:L53)</f>
        <v>1425</v>
      </c>
      <c r="G56" s="1"/>
      <c r="H56" s="1"/>
      <c r="I56" s="1"/>
      <c r="J56" s="1"/>
      <c r="K56" s="1"/>
      <c r="L56" s="1"/>
      <c r="M56" s="1"/>
      <c r="N56" s="37" t="s">
        <v>146</v>
      </c>
      <c r="O56" s="1"/>
      <c r="P56" s="1"/>
    </row>
    <row r="57" customFormat="false" ht="15" hidden="false" customHeight="false" outlineLevel="1" collapsed="false">
      <c r="A57" s="1"/>
      <c r="B57" s="34" t="s">
        <v>147</v>
      </c>
      <c r="C57" s="35" t="s">
        <v>76</v>
      </c>
      <c r="D57" s="1"/>
      <c r="E57" s="1"/>
      <c r="F57" s="38" t="n">
        <f aca="false">F56-F60</f>
        <v>325</v>
      </c>
      <c r="G57" s="1"/>
      <c r="H57" s="1"/>
      <c r="I57" s="1"/>
      <c r="J57" s="1"/>
      <c r="K57" s="1"/>
      <c r="L57" s="1"/>
      <c r="M57" s="1"/>
      <c r="N57" s="37" t="s">
        <v>148</v>
      </c>
      <c r="O57" s="1"/>
      <c r="P57" s="1"/>
    </row>
    <row r="58" customFormat="false" ht="15" hidden="false" customHeight="false" outlineLevel="1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customFormat="false" ht="15" hidden="false" customHeight="false" outlineLevel="1" collapsed="false">
      <c r="A59" s="1"/>
      <c r="B59" s="33" t="s">
        <v>149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customFormat="false" ht="15" hidden="false" customHeight="false" outlineLevel="1" collapsed="false">
      <c r="A60" s="1"/>
      <c r="B60" s="34" t="s">
        <v>150</v>
      </c>
      <c r="C60" s="35" t="s">
        <v>76</v>
      </c>
      <c r="D60" s="1"/>
      <c r="E60" s="1"/>
      <c r="F60" s="38" t="n">
        <f aca="false">SUM(G54:L54)</f>
        <v>1100</v>
      </c>
      <c r="G60" s="1"/>
      <c r="H60" s="1"/>
      <c r="I60" s="1"/>
      <c r="J60" s="1"/>
      <c r="K60" s="1"/>
      <c r="L60" s="1"/>
      <c r="M60" s="1"/>
      <c r="N60" s="37" t="s">
        <v>151</v>
      </c>
      <c r="O60" s="1"/>
      <c r="P60" s="1"/>
    </row>
    <row r="61" customFormat="false" ht="15" hidden="false" customHeight="false" outlineLevel="1" collapsed="false">
      <c r="A61" s="1"/>
      <c r="B61" s="34" t="s">
        <v>152</v>
      </c>
      <c r="C61" s="35" t="s">
        <v>153</v>
      </c>
      <c r="D61" s="1"/>
      <c r="E61" s="1"/>
      <c r="F61" s="41" t="n">
        <v>0.05</v>
      </c>
      <c r="G61" s="1"/>
      <c r="H61" s="1"/>
      <c r="I61" s="1"/>
      <c r="J61" s="1"/>
      <c r="K61" s="1"/>
      <c r="L61" s="1"/>
      <c r="M61" s="1"/>
      <c r="N61" s="37" t="s">
        <v>154</v>
      </c>
      <c r="O61" s="1"/>
      <c r="P61" s="1"/>
    </row>
    <row r="62" customFormat="false" ht="15" hidden="false" customHeight="false" outlineLevel="1" collapsed="false">
      <c r="A62" s="1"/>
      <c r="B62" s="34" t="s">
        <v>155</v>
      </c>
      <c r="C62" s="35" t="s">
        <v>156</v>
      </c>
      <c r="D62" s="1"/>
      <c r="E62" s="1"/>
      <c r="F62" s="39" t="n">
        <v>4</v>
      </c>
      <c r="G62" s="1"/>
      <c r="H62" s="1"/>
      <c r="I62" s="1"/>
      <c r="J62" s="1"/>
      <c r="K62" s="1"/>
      <c r="L62" s="1"/>
      <c r="M62" s="1"/>
      <c r="N62" s="37" t="s">
        <v>157</v>
      </c>
      <c r="O62" s="1"/>
      <c r="P62" s="1"/>
    </row>
    <row r="63" customFormat="false" ht="15" hidden="false" customHeight="false" outlineLevel="1" collapsed="false">
      <c r="A63" s="1"/>
      <c r="B63" s="34" t="s">
        <v>158</v>
      </c>
      <c r="C63" s="35" t="s">
        <v>159</v>
      </c>
      <c r="D63" s="1"/>
      <c r="E63" s="1"/>
      <c r="F63" s="42" t="n">
        <v>2029</v>
      </c>
      <c r="G63" s="1"/>
      <c r="H63" s="1"/>
      <c r="I63" s="1"/>
      <c r="J63" s="1"/>
      <c r="K63" s="1"/>
      <c r="L63" s="1"/>
      <c r="M63" s="1"/>
      <c r="N63" s="37" t="s">
        <v>160</v>
      </c>
      <c r="O63" s="1"/>
      <c r="P63" s="1"/>
    </row>
    <row r="64" customFormat="false" ht="15" hidden="false" customHeight="false" outlineLevel="1" collapsed="false">
      <c r="A64" s="1"/>
      <c r="B64" s="34" t="s">
        <v>161</v>
      </c>
      <c r="C64" s="35" t="s">
        <v>162</v>
      </c>
      <c r="D64" s="1"/>
      <c r="E64" s="1"/>
      <c r="F64" s="39" t="n">
        <v>2</v>
      </c>
      <c r="G64" s="1"/>
      <c r="H64" s="1"/>
      <c r="I64" s="1"/>
      <c r="J64" s="1"/>
      <c r="K64" s="1"/>
      <c r="L64" s="1"/>
      <c r="M64" s="1"/>
      <c r="N64" s="37" t="s">
        <v>163</v>
      </c>
      <c r="O64" s="1"/>
      <c r="P64" s="1"/>
    </row>
    <row r="65" customFormat="false" ht="15" hidden="false" customHeight="false" outlineLevel="1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5" zeroHeight="false" outlineLevelRow="1" outlineLevelCol="0"/>
  <cols>
    <col collapsed="false" customWidth="true" hidden="false" outlineLevel="0" max="1" min="1" style="0" width="2.5"/>
    <col collapsed="false" customWidth="true" hidden="false" outlineLevel="0" max="2" min="2" style="0" width="51"/>
    <col collapsed="false" customWidth="true" hidden="false" outlineLevel="0" max="3" min="3" style="0" width="1.5"/>
    <col collapsed="false" customWidth="true" hidden="false" outlineLevel="0" max="12" min="4" style="0" width="10.5"/>
    <col collapsed="false" customWidth="true" hidden="false" outlineLevel="0" max="13" min="13" style="0" width="2"/>
  </cols>
  <sheetData>
    <row r="1" customFormat="false" ht="39.75" hidden="false" customHeight="true" outlineLevel="0" collapsed="false">
      <c r="A1" s="43"/>
      <c r="B1" s="25" t="s">
        <v>47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21" hidden="false" customHeight="true" outlineLevel="0" collapsed="false">
      <c r="A3" s="1"/>
      <c r="B3" s="26" t="s">
        <v>12</v>
      </c>
      <c r="C3" s="2"/>
      <c r="D3" s="2"/>
      <c r="E3" s="2"/>
      <c r="F3" s="2"/>
      <c r="G3" s="2"/>
      <c r="H3" s="2"/>
      <c r="I3" s="2"/>
      <c r="J3" s="2"/>
      <c r="K3" s="2"/>
      <c r="L3" s="2"/>
      <c r="M3" s="1"/>
    </row>
    <row r="4" customFormat="false" ht="15" hidden="false" customHeight="false" outlineLevel="1" collapsed="false">
      <c r="A4" s="1"/>
      <c r="B4" s="27" t="s">
        <v>49</v>
      </c>
      <c r="C4" s="1"/>
      <c r="D4" s="28"/>
      <c r="E4" s="28"/>
      <c r="F4" s="29" t="s">
        <v>164</v>
      </c>
      <c r="G4" s="28"/>
      <c r="H4" s="28"/>
      <c r="I4" s="28"/>
      <c r="J4" s="28"/>
      <c r="K4" s="28"/>
      <c r="L4" s="29" t="s">
        <v>50</v>
      </c>
      <c r="M4" s="1"/>
    </row>
    <row r="5" customFormat="false" ht="15" hidden="false" customHeight="false" outlineLevel="1" collapsed="false">
      <c r="A5" s="1"/>
      <c r="B5" s="1"/>
      <c r="C5" s="1"/>
      <c r="D5" s="44" t="n">
        <v>2022</v>
      </c>
      <c r="E5" s="44" t="n">
        <f aca="false">D5+1</f>
        <v>2023</v>
      </c>
      <c r="F5" s="44" t="n">
        <f aca="false">E5+1</f>
        <v>2024</v>
      </c>
      <c r="G5" s="31" t="n">
        <f aca="false">F5+1</f>
        <v>2025</v>
      </c>
      <c r="H5" s="31" t="n">
        <f aca="false">G5+1</f>
        <v>2026</v>
      </c>
      <c r="I5" s="31" t="n">
        <f aca="false">H5+1</f>
        <v>2027</v>
      </c>
      <c r="J5" s="31" t="n">
        <f aca="false">I5+1</f>
        <v>2028</v>
      </c>
      <c r="K5" s="31" t="n">
        <f aca="false">J5+1</f>
        <v>2029</v>
      </c>
      <c r="L5" s="31" t="n">
        <f aca="false">K5+1</f>
        <v>2030</v>
      </c>
      <c r="M5" s="1"/>
    </row>
    <row r="6" customFormat="false" ht="15" hidden="false" customHeight="false" outlineLevel="1" collapsed="false">
      <c r="A6" s="1"/>
      <c r="B6" s="34" t="s">
        <v>165</v>
      </c>
      <c r="C6" s="1"/>
      <c r="D6" s="45" t="n">
        <v>5095.254</v>
      </c>
      <c r="E6" s="45" t="n">
        <v>5970.146</v>
      </c>
      <c r="F6" s="45" t="n">
        <v>6676.668</v>
      </c>
      <c r="G6" s="45" t="n">
        <f aca="false">G48</f>
        <v>7106.93657668979</v>
      </c>
      <c r="H6" s="45" t="n">
        <f aca="false">H48</f>
        <v>7457.03290319429</v>
      </c>
      <c r="I6" s="45" t="n">
        <f aca="false">I48</f>
        <v>7824.55437723402</v>
      </c>
      <c r="J6" s="45" t="n">
        <f aca="false">J48</f>
        <v>8210.37746839717</v>
      </c>
      <c r="K6" s="45" t="n">
        <f aca="false">K48</f>
        <v>8615.42319768823</v>
      </c>
      <c r="L6" s="45" t="n">
        <f aca="false">L48</f>
        <v>9040.65942549087</v>
      </c>
      <c r="M6" s="1"/>
    </row>
    <row r="7" customFormat="false" ht="15" hidden="false" customHeight="false" outlineLevel="1" collapsed="false">
      <c r="A7" s="1"/>
      <c r="B7" s="34" t="s">
        <v>66</v>
      </c>
      <c r="C7" s="1"/>
      <c r="D7" s="45" t="n">
        <v>-2648.953</v>
      </c>
      <c r="E7" s="45" t="n">
        <v>-2995.877</v>
      </c>
      <c r="F7" s="45" t="n">
        <v>-3329.483</v>
      </c>
      <c r="G7" s="45" t="n">
        <f aca="false">-G6*Inputs!G16</f>
        <v>-3517.93360546145</v>
      </c>
      <c r="H7" s="45" t="n">
        <f aca="false">-H6*Inputs!H16</f>
        <v>-3676.31722127478</v>
      </c>
      <c r="I7" s="45" t="n">
        <f aca="false">-I6*Inputs!I16</f>
        <v>-3841.8561992219</v>
      </c>
      <c r="J7" s="45" t="n">
        <f aca="false">-J6*Inputs!J16</f>
        <v>-4014.87458204622</v>
      </c>
      <c r="K7" s="45" t="n">
        <f aca="false">-K6*Inputs!K16</f>
        <v>-4195.71109727417</v>
      </c>
      <c r="L7" s="45" t="n">
        <f aca="false">-L6*Inputs!L16</f>
        <v>-4384.71982136307</v>
      </c>
      <c r="M7" s="1"/>
    </row>
    <row r="8" customFormat="false" ht="15" hidden="false" customHeight="false" outlineLevel="1" collapsed="false">
      <c r="A8" s="1"/>
      <c r="B8" s="46" t="s">
        <v>166</v>
      </c>
      <c r="C8" s="47"/>
      <c r="D8" s="48" t="n">
        <f aca="false">SUM(D6:D7)</f>
        <v>2446.301</v>
      </c>
      <c r="E8" s="48" t="n">
        <f aca="false">SUM(E6:E7)</f>
        <v>2974.269</v>
      </c>
      <c r="F8" s="48" t="n">
        <f aca="false">SUM(F6:F7)</f>
        <v>3347.185</v>
      </c>
      <c r="G8" s="48" t="n">
        <f aca="false">SUM(G6:G7)</f>
        <v>3589.00297122834</v>
      </c>
      <c r="H8" s="48" t="n">
        <f aca="false">SUM(H6:H7)</f>
        <v>3780.7156819195</v>
      </c>
      <c r="I8" s="48" t="n">
        <f aca="false">SUM(I6:I7)</f>
        <v>3982.69817801212</v>
      </c>
      <c r="J8" s="48" t="n">
        <f aca="false">SUM(J6:J7)</f>
        <v>4195.50288635095</v>
      </c>
      <c r="K8" s="48" t="n">
        <f aca="false">SUM(K6:K7)</f>
        <v>4419.71210041406</v>
      </c>
      <c r="L8" s="48" t="n">
        <f aca="false">SUM(L6:L7)</f>
        <v>4655.9396041278</v>
      </c>
      <c r="M8" s="1"/>
    </row>
    <row r="9" customFormat="false" ht="15" hidden="false" customHeight="false" outlineLevel="1" collapsed="false">
      <c r="A9" s="1"/>
      <c r="B9" s="34" t="s">
        <v>69</v>
      </c>
      <c r="C9" s="1"/>
      <c r="D9" s="45" t="n">
        <v>-427.974</v>
      </c>
      <c r="E9" s="45" t="n">
        <v>-462.58</v>
      </c>
      <c r="F9" s="45" t="n">
        <v>-561.144</v>
      </c>
      <c r="G9" s="45" t="n">
        <f aca="false">-G6*Inputs!G17</f>
        <v>-596.982672441942</v>
      </c>
      <c r="H9" s="45" t="n">
        <f aca="false">-H6*Inputs!H17</f>
        <v>-626.39076386832</v>
      </c>
      <c r="I9" s="45" t="n">
        <f aca="false">-I6*Inputs!I17</f>
        <v>-657.262567687658</v>
      </c>
      <c r="J9" s="45" t="n">
        <f aca="false">-J6*Inputs!J17</f>
        <v>-689.671707345362</v>
      </c>
      <c r="K9" s="45" t="n">
        <f aca="false">-K6*Inputs!K17</f>
        <v>-723.695548605812</v>
      </c>
      <c r="L9" s="45" t="n">
        <f aca="false">-L6*Inputs!L17</f>
        <v>-759.415391741233</v>
      </c>
      <c r="M9" s="1"/>
    </row>
    <row r="10" customFormat="false" ht="15" hidden="false" customHeight="false" outlineLevel="1" collapsed="false">
      <c r="A10" s="1"/>
      <c r="B10" s="34" t="s">
        <v>71</v>
      </c>
      <c r="C10" s="1"/>
      <c r="D10" s="45" t="n">
        <v>-775.572</v>
      </c>
      <c r="E10" s="45" t="n">
        <v>-881.559</v>
      </c>
      <c r="F10" s="45" t="n">
        <v>-894.092</v>
      </c>
      <c r="G10" s="45" t="n">
        <f aca="false">-G6*Inputs!G18</f>
        <v>-938.115628123053</v>
      </c>
      <c r="H10" s="45" t="n">
        <f aca="false">-H6*Inputs!H18</f>
        <v>-984.328343221646</v>
      </c>
      <c r="I10" s="45" t="n">
        <f aca="false">-I6*Inputs!I18</f>
        <v>-1032.84117779489</v>
      </c>
      <c r="J10" s="45" t="n">
        <f aca="false">-J6*Inputs!J18</f>
        <v>-1083.76982582843</v>
      </c>
      <c r="K10" s="45" t="n">
        <f aca="false">-K6*Inputs!K18</f>
        <v>-1137.23586209485</v>
      </c>
      <c r="L10" s="45" t="n">
        <f aca="false">-L6*Inputs!L18</f>
        <v>-1193.3670441648</v>
      </c>
      <c r="M10" s="1"/>
    </row>
    <row r="11" customFormat="false" ht="15" hidden="false" customHeight="false" outlineLevel="1" collapsed="false">
      <c r="A11" s="1"/>
      <c r="B11" s="34" t="s">
        <v>73</v>
      </c>
      <c r="C11" s="1"/>
      <c r="D11" s="45" t="n">
        <v>-21.548</v>
      </c>
      <c r="E11" s="45" t="n">
        <v>-18.898</v>
      </c>
      <c r="F11" s="45" t="n">
        <v>-12.443</v>
      </c>
      <c r="G11" s="45" t="n">
        <f aca="false">-G6*Inputs!G19</f>
        <v>-14.2138731533796</v>
      </c>
      <c r="H11" s="45" t="n">
        <f aca="false">-H6*Inputs!H19</f>
        <v>-14.9140658063886</v>
      </c>
      <c r="I11" s="45" t="n">
        <f aca="false">-I6*Inputs!I19</f>
        <v>-15.649108754468</v>
      </c>
      <c r="J11" s="45" t="n">
        <f aca="false">-J6*Inputs!J19</f>
        <v>-16.4207549367943</v>
      </c>
      <c r="K11" s="45" t="n">
        <f aca="false">-K6*Inputs!K19</f>
        <v>-17.2308463953765</v>
      </c>
      <c r="L11" s="45" t="n">
        <f aca="false">-L6*Inputs!L19</f>
        <v>-18.0813188509817</v>
      </c>
      <c r="M11" s="1"/>
    </row>
    <row r="12" customFormat="false" ht="15" hidden="false" customHeight="false" outlineLevel="1" collapsed="false">
      <c r="A12" s="1"/>
      <c r="B12" s="34" t="s">
        <v>75</v>
      </c>
      <c r="C12" s="1"/>
      <c r="D12" s="45" t="n">
        <v>6.175</v>
      </c>
      <c r="E12" s="45" t="n">
        <v>6.137</v>
      </c>
      <c r="F12" s="45" t="n">
        <v>8.245</v>
      </c>
      <c r="G12" s="45" t="n">
        <f aca="false">Inputs!G20</f>
        <v>8</v>
      </c>
      <c r="H12" s="45" t="n">
        <f aca="false">Inputs!H20</f>
        <v>8</v>
      </c>
      <c r="I12" s="45" t="n">
        <f aca="false">Inputs!I20</f>
        <v>8</v>
      </c>
      <c r="J12" s="45" t="n">
        <f aca="false">Inputs!J20</f>
        <v>8</v>
      </c>
      <c r="K12" s="45" t="n">
        <f aca="false">Inputs!K20</f>
        <v>8</v>
      </c>
      <c r="L12" s="45" t="n">
        <f aca="false">Inputs!L20</f>
        <v>8</v>
      </c>
      <c r="M12" s="1"/>
    </row>
    <row r="13" customFormat="false" ht="15" hidden="false" customHeight="false" outlineLevel="1" collapsed="false">
      <c r="A13" s="1"/>
      <c r="B13" s="46" t="s">
        <v>167</v>
      </c>
      <c r="C13" s="47"/>
      <c r="D13" s="48" t="n">
        <f aca="false">SUM(D8,D9:D12)</f>
        <v>1227.382</v>
      </c>
      <c r="E13" s="48" t="n">
        <f aca="false">SUM(E8,E9:E12)</f>
        <v>1617.369</v>
      </c>
      <c r="F13" s="48" t="n">
        <f aca="false">SUM(F8,F9:F12)</f>
        <v>1887.751</v>
      </c>
      <c r="G13" s="48" t="n">
        <f aca="false">SUM(G8,G9:G12)</f>
        <v>2047.69079750997</v>
      </c>
      <c r="H13" s="48" t="n">
        <f aca="false">SUM(H8,H9:H12)</f>
        <v>2163.08250902315</v>
      </c>
      <c r="I13" s="48" t="n">
        <f aca="false">SUM(I8,I9:I12)</f>
        <v>2284.9453237751</v>
      </c>
      <c r="J13" s="48" t="n">
        <f aca="false">SUM(J8,J9:J12)</f>
        <v>2413.64059824037</v>
      </c>
      <c r="K13" s="48" t="n">
        <f aca="false">SUM(K8,K9:K12)</f>
        <v>2549.54984331803</v>
      </c>
      <c r="L13" s="48" t="n">
        <f aca="false">SUM(L8,L9:L12)</f>
        <v>2693.07584937079</v>
      </c>
      <c r="M13" s="1"/>
    </row>
    <row r="14" customFormat="false" ht="15" hidden="false" customHeight="false" outlineLevel="1" collapsed="false">
      <c r="A14" s="1"/>
      <c r="B14" s="34" t="s">
        <v>168</v>
      </c>
      <c r="C14" s="1"/>
      <c r="D14" s="45" t="n">
        <v>83.858</v>
      </c>
      <c r="E14" s="45" t="n">
        <v>132.319</v>
      </c>
      <c r="F14" s="45" t="n">
        <v>147.1</v>
      </c>
      <c r="G14" s="45" t="n">
        <f aca="false">G217</f>
        <v>34.84428</v>
      </c>
      <c r="H14" s="45" t="n">
        <f aca="false">H217</f>
        <v>41.2082869616769</v>
      </c>
      <c r="I14" s="45" t="n">
        <f aca="false">I217</f>
        <v>45.0233344827267</v>
      </c>
      <c r="J14" s="45" t="n">
        <f aca="false">J217</f>
        <v>48.122670523254</v>
      </c>
      <c r="K14" s="45" t="n">
        <f aca="false">K217</f>
        <v>52.1713390355348</v>
      </c>
      <c r="L14" s="45" t="n">
        <f aca="false">L217</f>
        <v>57.2910107956289</v>
      </c>
      <c r="M14" s="1"/>
    </row>
    <row r="15" customFormat="false" ht="15" hidden="false" customHeight="false" outlineLevel="1" collapsed="false">
      <c r="A15" s="1"/>
      <c r="B15" s="34" t="s">
        <v>169</v>
      </c>
      <c r="C15" s="1"/>
      <c r="D15" s="45" t="n">
        <v>-133.474</v>
      </c>
      <c r="E15" s="45" t="n">
        <v>-147.334</v>
      </c>
      <c r="F15" s="45" t="n">
        <v>-145.895</v>
      </c>
      <c r="G15" s="45" t="n">
        <f aca="false">-G213</f>
        <v>-147.483072</v>
      </c>
      <c r="H15" s="45" t="n">
        <f aca="false">-H213</f>
        <v>-147.483072</v>
      </c>
      <c r="I15" s="45" t="n">
        <f aca="false">-I213</f>
        <v>-147.483072</v>
      </c>
      <c r="J15" s="45" t="n">
        <f aca="false">-J213</f>
        <v>-147.483072</v>
      </c>
      <c r="K15" s="45" t="n">
        <f aca="false">-K213</f>
        <v>-147.483072</v>
      </c>
      <c r="L15" s="45" t="n">
        <f aca="false">-L213</f>
        <v>-147.483072</v>
      </c>
      <c r="M15" s="1"/>
    </row>
    <row r="16" customFormat="false" ht="15" hidden="false" customHeight="false" outlineLevel="1" collapsed="false">
      <c r="A16" s="1"/>
      <c r="B16" s="46" t="s">
        <v>170</v>
      </c>
      <c r="C16" s="47"/>
      <c r="D16" s="48" t="n">
        <f aca="false">SUM(D13,D14:D15)</f>
        <v>1177.766</v>
      </c>
      <c r="E16" s="48" t="n">
        <f aca="false">SUM(E13,E14:E15)</f>
        <v>1602.354</v>
      </c>
      <c r="F16" s="48" t="n">
        <f aca="false">SUM(F13,F14:F15)</f>
        <v>1888.956</v>
      </c>
      <c r="G16" s="48" t="n">
        <f aca="false">SUM(G13,G14:G15)</f>
        <v>1935.05200550997</v>
      </c>
      <c r="H16" s="48" t="n">
        <f aca="false">SUM(H13,H14:H15)</f>
        <v>2056.80772398483</v>
      </c>
      <c r="I16" s="48" t="n">
        <f aca="false">SUM(I13,I14:I15)</f>
        <v>2182.48558625783</v>
      </c>
      <c r="J16" s="48" t="n">
        <f aca="false">SUM(J13,J14:J15)</f>
        <v>2314.28019676362</v>
      </c>
      <c r="K16" s="48" t="n">
        <f aca="false">SUM(K13,K14:K15)</f>
        <v>2454.23811035356</v>
      </c>
      <c r="L16" s="48" t="n">
        <f aca="false">SUM(L13,L14:L15)</f>
        <v>2602.88378816642</v>
      </c>
      <c r="M16" s="1"/>
    </row>
    <row r="17" customFormat="false" ht="15" hidden="false" customHeight="false" outlineLevel="1" collapsed="false">
      <c r="A17" s="1"/>
      <c r="B17" s="34" t="s">
        <v>171</v>
      </c>
      <c r="C17" s="1"/>
      <c r="D17" s="45" t="n">
        <v>-238.472</v>
      </c>
      <c r="E17" s="45" t="n">
        <v>-344.897</v>
      </c>
      <c r="F17" s="45" t="n">
        <v>-363.043</v>
      </c>
      <c r="G17" s="45" t="n">
        <f aca="false">-G16*Inputs!G21</f>
        <v>-387.010401101994</v>
      </c>
      <c r="H17" s="45" t="n">
        <f aca="false">-H16*Inputs!H21</f>
        <v>-411.361544796965</v>
      </c>
      <c r="I17" s="45" t="n">
        <f aca="false">-I16*Inputs!I21</f>
        <v>-436.497117251565</v>
      </c>
      <c r="J17" s="45" t="n">
        <f aca="false">-J16*Inputs!J21</f>
        <v>-462.856039352725</v>
      </c>
      <c r="K17" s="45" t="n">
        <f aca="false">-K16*Inputs!K21</f>
        <v>-490.847622070713</v>
      </c>
      <c r="L17" s="45" t="n">
        <f aca="false">-L16*Inputs!L21</f>
        <v>-520.576757633284</v>
      </c>
      <c r="M17" s="1"/>
    </row>
    <row r="18" customFormat="false" ht="15" hidden="false" customHeight="false" outlineLevel="1" collapsed="false">
      <c r="A18" s="1"/>
      <c r="B18" s="49" t="s">
        <v>172</v>
      </c>
      <c r="C18" s="50"/>
      <c r="D18" s="51" t="n">
        <f aca="false">SUM(D16:D17)</f>
        <v>939.294</v>
      </c>
      <c r="E18" s="51" t="n">
        <f aca="false">SUM(E16:E17)</f>
        <v>1257.457</v>
      </c>
      <c r="F18" s="51" t="n">
        <f aca="false">SUM(F16:F17)</f>
        <v>1525.913</v>
      </c>
      <c r="G18" s="51" t="n">
        <f aca="false">SUM(G16:G17)</f>
        <v>1548.04160440798</v>
      </c>
      <c r="H18" s="51" t="n">
        <f aca="false">SUM(H16:H17)</f>
        <v>1645.44617918786</v>
      </c>
      <c r="I18" s="51" t="n">
        <f aca="false">SUM(I16:I17)</f>
        <v>1745.98846900626</v>
      </c>
      <c r="J18" s="51" t="n">
        <f aca="false">SUM(J16:J17)</f>
        <v>1851.4241574109</v>
      </c>
      <c r="K18" s="51" t="n">
        <f aca="false">SUM(K16:K17)</f>
        <v>1963.39048828285</v>
      </c>
      <c r="L18" s="51" t="n">
        <f aca="false">SUM(L16:L17)</f>
        <v>2082.30703053313</v>
      </c>
      <c r="M18" s="1"/>
    </row>
    <row r="19" customFormat="false" ht="15" hidden="false" customHeight="false" outlineLevel="1" collapsed="false">
      <c r="A19" s="1"/>
      <c r="B19" s="52" t="s">
        <v>173</v>
      </c>
      <c r="C19" s="1"/>
      <c r="D19" s="45" t="n">
        <v>6.68</v>
      </c>
      <c r="E19" s="45" t="n">
        <v>5.409</v>
      </c>
      <c r="F19" s="45" t="n">
        <v>4.036</v>
      </c>
      <c r="G19" s="45" t="n">
        <f aca="false">G18*Inputs!G22</f>
        <v>4.64412481322393</v>
      </c>
      <c r="H19" s="45" t="n">
        <f aca="false">H18*Inputs!H22</f>
        <v>4.93633853756358</v>
      </c>
      <c r="I19" s="45" t="n">
        <f aca="false">I18*Inputs!I22</f>
        <v>5.23796540701878</v>
      </c>
      <c r="J19" s="45" t="n">
        <f aca="false">J18*Inputs!J22</f>
        <v>5.5542724722327</v>
      </c>
      <c r="K19" s="45" t="n">
        <f aca="false">K18*Inputs!K22</f>
        <v>5.89017146484855</v>
      </c>
      <c r="L19" s="45" t="n">
        <f aca="false">L18*Inputs!L22</f>
        <v>6.2469210915994</v>
      </c>
      <c r="M19" s="1"/>
    </row>
    <row r="20" customFormat="false" ht="15" hidden="false" customHeight="false" outlineLevel="1" collapsed="false">
      <c r="A20" s="1"/>
      <c r="B20" s="52" t="s">
        <v>174</v>
      </c>
      <c r="C20" s="1"/>
      <c r="D20" s="45" t="n">
        <f aca="false">D18-D19</f>
        <v>932.614</v>
      </c>
      <c r="E20" s="45" t="n">
        <f aca="false">E18-E19</f>
        <v>1252.048</v>
      </c>
      <c r="F20" s="45" t="n">
        <f aca="false">F18-F19</f>
        <v>1521.877</v>
      </c>
      <c r="G20" s="45" t="n">
        <f aca="false">G18-G19</f>
        <v>1543.39747959475</v>
      </c>
      <c r="H20" s="45" t="n">
        <f aca="false">H18-H19</f>
        <v>1640.5098406503</v>
      </c>
      <c r="I20" s="45" t="n">
        <f aca="false">I18-I19</f>
        <v>1740.75050359924</v>
      </c>
      <c r="J20" s="45" t="n">
        <f aca="false">J18-J19</f>
        <v>1845.86988493867</v>
      </c>
      <c r="K20" s="45" t="n">
        <f aca="false">K18-K19</f>
        <v>1957.500316818</v>
      </c>
      <c r="L20" s="45" t="n">
        <f aca="false">L18-L19</f>
        <v>2076.06010944154</v>
      </c>
      <c r="M20" s="1"/>
    </row>
    <row r="21" customFormat="false" ht="15" hidden="false" customHeight="false" outlineLevel="1" collapsed="false">
      <c r="A21" s="1"/>
      <c r="B21" s="33" t="s">
        <v>175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customFormat="false" ht="15" hidden="false" customHeight="false" outlineLevel="1" collapsed="false">
      <c r="A22" s="1"/>
      <c r="B22" s="34" t="s">
        <v>176</v>
      </c>
      <c r="C22" s="1"/>
      <c r="D22" s="45" t="n">
        <v>546.225</v>
      </c>
      <c r="E22" s="45" t="n">
        <v>662.305</v>
      </c>
      <c r="F22" s="45" t="n">
        <v>666.777</v>
      </c>
      <c r="G22" s="45" t="n">
        <f aca="false">G198</f>
        <v>679.411632</v>
      </c>
      <c r="H22" s="45" t="n">
        <f aca="false">H198</f>
        <v>698.280577019474</v>
      </c>
      <c r="I22" s="45" t="n">
        <f aca="false">I198</f>
        <v>723.00728218354</v>
      </c>
      <c r="J22" s="45" t="n">
        <f aca="false">J198</f>
        <v>752.41652286706</v>
      </c>
      <c r="K22" s="45" t="n">
        <f aca="false">K198</f>
        <v>785.689440956346</v>
      </c>
      <c r="L22" s="45" t="n">
        <f aca="false">L198</f>
        <v>822.267006808651</v>
      </c>
      <c r="M22" s="1"/>
    </row>
    <row r="23" customFormat="false" ht="15" hidden="false" customHeight="false" outlineLevel="1" collapsed="false">
      <c r="A23" s="1"/>
      <c r="B23" s="46" t="s">
        <v>177</v>
      </c>
      <c r="C23" s="47"/>
      <c r="D23" s="48" t="n">
        <f aca="false">D13+D22</f>
        <v>1773.607</v>
      </c>
      <c r="E23" s="48" t="n">
        <f aca="false">E13+E22</f>
        <v>2279.674</v>
      </c>
      <c r="F23" s="48" t="n">
        <f aca="false">F13+F22</f>
        <v>2554.528</v>
      </c>
      <c r="G23" s="48" t="n">
        <f aca="false">G13+G22</f>
        <v>2727.10242950997</v>
      </c>
      <c r="H23" s="48" t="n">
        <f aca="false">H13+H22</f>
        <v>2861.36308604262</v>
      </c>
      <c r="I23" s="48" t="n">
        <f aca="false">I13+I22</f>
        <v>3007.95260595864</v>
      </c>
      <c r="J23" s="48" t="n">
        <f aca="false">J13+J22</f>
        <v>3166.05712110743</v>
      </c>
      <c r="K23" s="48" t="n">
        <f aca="false">K13+K22</f>
        <v>3335.23928427437</v>
      </c>
      <c r="L23" s="48" t="n">
        <f aca="false">L13+L22</f>
        <v>3515.34285617944</v>
      </c>
      <c r="M23" s="1"/>
    </row>
    <row r="24" customFormat="false" ht="15" hidden="false" customHeight="false" outlineLevel="1" collapsed="false">
      <c r="A24" s="1"/>
      <c r="B24" s="33" t="s">
        <v>178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customFormat="false" ht="15" hidden="false" customHeight="false" outlineLevel="1" collapsed="false">
      <c r="A25" s="1"/>
      <c r="B25" s="34" t="s">
        <v>179</v>
      </c>
      <c r="C25" s="1"/>
      <c r="D25" s="53"/>
      <c r="E25" s="53" t="n">
        <f aca="false">E6/D6-1</f>
        <v>0.171707239717588</v>
      </c>
      <c r="F25" s="53" t="n">
        <f aca="false">F6/E6-1</f>
        <v>0.118342499496662</v>
      </c>
      <c r="G25" s="53" t="n">
        <f aca="false">G6/F6-1</f>
        <v>0.0644436082024433</v>
      </c>
      <c r="H25" s="53" t="n">
        <f aca="false">H6/G6-1</f>
        <v>0.0492612144102682</v>
      </c>
      <c r="I25" s="53" t="n">
        <f aca="false">I6/H6-1</f>
        <v>0.0492852155556811</v>
      </c>
      <c r="J25" s="53" t="n">
        <f aca="false">J6/I6-1</f>
        <v>0.049309273418269</v>
      </c>
      <c r="K25" s="53" t="n">
        <f aca="false">K6/J6-1</f>
        <v>0.0493333870275925</v>
      </c>
      <c r="L25" s="53" t="n">
        <f aca="false">L6/K6-1</f>
        <v>0.0493575554032848</v>
      </c>
      <c r="M25" s="1"/>
    </row>
    <row r="26" customFormat="false" ht="15" hidden="false" customHeight="false" outlineLevel="1" collapsed="false">
      <c r="A26" s="1"/>
      <c r="B26" s="34" t="s">
        <v>180</v>
      </c>
      <c r="C26" s="1"/>
      <c r="D26" s="53" t="n">
        <f aca="false">D8/D6</f>
        <v>0.480113650860193</v>
      </c>
      <c r="E26" s="53" t="n">
        <f aca="false">E8/E6</f>
        <v>0.498190329013729</v>
      </c>
      <c r="F26" s="53" t="n">
        <f aca="false">F8/F6</f>
        <v>0.501325661243003</v>
      </c>
      <c r="G26" s="53" t="n">
        <f aca="false">G8/G6</f>
        <v>0.505</v>
      </c>
      <c r="H26" s="53" t="n">
        <f aca="false">H8/H6</f>
        <v>0.507</v>
      </c>
      <c r="I26" s="53" t="n">
        <f aca="false">I8/I6</f>
        <v>0.509</v>
      </c>
      <c r="J26" s="53" t="n">
        <f aca="false">J8/J6</f>
        <v>0.511</v>
      </c>
      <c r="K26" s="53" t="n">
        <f aca="false">K8/K6</f>
        <v>0.513</v>
      </c>
      <c r="L26" s="53" t="n">
        <f aca="false">L8/L6</f>
        <v>0.515</v>
      </c>
      <c r="M26" s="1"/>
    </row>
    <row r="27" customFormat="false" ht="15" hidden="false" customHeight="false" outlineLevel="1" collapsed="false">
      <c r="A27" s="1"/>
      <c r="B27" s="34" t="s">
        <v>181</v>
      </c>
      <c r="C27" s="1"/>
      <c r="D27" s="53" t="n">
        <f aca="false">-D7/D6</f>
        <v>0.519886349139807</v>
      </c>
      <c r="E27" s="53" t="n">
        <f aca="false">-E7/E6</f>
        <v>0.501809670986271</v>
      </c>
      <c r="F27" s="53" t="n">
        <f aca="false">-F7/F6</f>
        <v>0.498674338756997</v>
      </c>
      <c r="G27" s="53" t="n">
        <f aca="false">Inputs!G16</f>
        <v>0.495</v>
      </c>
      <c r="H27" s="53" t="n">
        <f aca="false">Inputs!H16</f>
        <v>0.493</v>
      </c>
      <c r="I27" s="53" t="n">
        <f aca="false">Inputs!I16</f>
        <v>0.491</v>
      </c>
      <c r="J27" s="53" t="n">
        <f aca="false">Inputs!J16</f>
        <v>0.489</v>
      </c>
      <c r="K27" s="53" t="n">
        <f aca="false">Inputs!K16</f>
        <v>0.487</v>
      </c>
      <c r="L27" s="53" t="n">
        <f aca="false">Inputs!L16</f>
        <v>0.485</v>
      </c>
      <c r="M27" s="1"/>
    </row>
    <row r="28" customFormat="false" ht="15" hidden="false" customHeight="false" outlineLevel="1" collapsed="false">
      <c r="A28" s="1"/>
      <c r="B28" s="34" t="s">
        <v>182</v>
      </c>
      <c r="C28" s="1"/>
      <c r="D28" s="53" t="n">
        <f aca="false">-D9/D6</f>
        <v>0.083994635007401</v>
      </c>
      <c r="E28" s="53" t="n">
        <f aca="false">-E9/E6</f>
        <v>0.0774821922277948</v>
      </c>
      <c r="F28" s="53" t="n">
        <f aca="false">-F9/F6</f>
        <v>0.0840455149185193</v>
      </c>
      <c r="G28" s="53" t="n">
        <f aca="false">Inputs!G17</f>
        <v>0.084</v>
      </c>
      <c r="H28" s="53" t="n">
        <f aca="false">Inputs!H17</f>
        <v>0.084</v>
      </c>
      <c r="I28" s="53" t="n">
        <f aca="false">Inputs!I17</f>
        <v>0.084</v>
      </c>
      <c r="J28" s="53" t="n">
        <f aca="false">Inputs!J17</f>
        <v>0.084</v>
      </c>
      <c r="K28" s="53" t="n">
        <f aca="false">Inputs!K17</f>
        <v>0.084</v>
      </c>
      <c r="L28" s="53" t="n">
        <f aca="false">Inputs!L17</f>
        <v>0.084</v>
      </c>
      <c r="M28" s="1"/>
    </row>
    <row r="29" customFormat="false" ht="15" hidden="false" customHeight="false" outlineLevel="1" collapsed="false">
      <c r="A29" s="1"/>
      <c r="B29" s="34" t="s">
        <v>183</v>
      </c>
      <c r="C29" s="1"/>
      <c r="D29" s="53" t="n">
        <f aca="false">-D10/D6</f>
        <v>0.152214590283428</v>
      </c>
      <c r="E29" s="53" t="n">
        <f aca="false">-E10/E6</f>
        <v>0.147661212975361</v>
      </c>
      <c r="F29" s="53" t="n">
        <f aca="false">-F10/F6</f>
        <v>0.133912903861627</v>
      </c>
      <c r="G29" s="53" t="n">
        <f aca="false">Inputs!G18</f>
        <v>0.132</v>
      </c>
      <c r="H29" s="53" t="n">
        <f aca="false">Inputs!H18</f>
        <v>0.132</v>
      </c>
      <c r="I29" s="53" t="n">
        <f aca="false">Inputs!I18</f>
        <v>0.132</v>
      </c>
      <c r="J29" s="53" t="n">
        <f aca="false">Inputs!J18</f>
        <v>0.132</v>
      </c>
      <c r="K29" s="53" t="n">
        <f aca="false">Inputs!K18</f>
        <v>0.132</v>
      </c>
      <c r="L29" s="53" t="n">
        <f aca="false">Inputs!L18</f>
        <v>0.132</v>
      </c>
      <c r="M29" s="1"/>
    </row>
    <row r="30" customFormat="false" ht="15" hidden="false" customHeight="false" outlineLevel="1" collapsed="false">
      <c r="A30" s="1"/>
      <c r="B30" s="34" t="s">
        <v>184</v>
      </c>
      <c r="C30" s="1"/>
      <c r="D30" s="53" t="n">
        <f aca="false">-D11/D6</f>
        <v>0.00422903352806357</v>
      </c>
      <c r="E30" s="53" t="n">
        <f aca="false">-E11/E6</f>
        <v>0.00316541672515212</v>
      </c>
      <c r="F30" s="53" t="n">
        <f aca="false">-F11/F6</f>
        <v>0.0018636541460501</v>
      </c>
      <c r="G30" s="53" t="n">
        <f aca="false">Inputs!G19</f>
        <v>0.002</v>
      </c>
      <c r="H30" s="53" t="n">
        <f aca="false">Inputs!H19</f>
        <v>0.002</v>
      </c>
      <c r="I30" s="53" t="n">
        <f aca="false">Inputs!I19</f>
        <v>0.002</v>
      </c>
      <c r="J30" s="53" t="n">
        <f aca="false">Inputs!J19</f>
        <v>0.002</v>
      </c>
      <c r="K30" s="53" t="n">
        <f aca="false">Inputs!K19</f>
        <v>0.002</v>
      </c>
      <c r="L30" s="53" t="n">
        <f aca="false">Inputs!L19</f>
        <v>0.002</v>
      </c>
      <c r="M30" s="1"/>
    </row>
    <row r="31" customFormat="false" ht="15" hidden="false" customHeight="false" outlineLevel="1" collapsed="false">
      <c r="A31" s="1"/>
      <c r="B31" s="34" t="s">
        <v>185</v>
      </c>
      <c r="C31" s="1"/>
      <c r="D31" s="53" t="n">
        <f aca="false">D23/D6</f>
        <v>0.348090006896614</v>
      </c>
      <c r="E31" s="53" t="n">
        <f aca="false">E23/E6</f>
        <v>0.381845603105854</v>
      </c>
      <c r="F31" s="53" t="n">
        <f aca="false">F23/F6</f>
        <v>0.382605215655474</v>
      </c>
      <c r="G31" s="53" t="n">
        <f aca="false">G23/G6</f>
        <v>0.383724042009135</v>
      </c>
      <c r="H31" s="53" t="n">
        <f aca="false">H23/H6</f>
        <v>0.383713351300479</v>
      </c>
      <c r="I31" s="53" t="n">
        <f aca="false">I23/I6</f>
        <v>0.384424781392081</v>
      </c>
      <c r="J31" s="53" t="n">
        <f aca="false">J23/J6</f>
        <v>0.385616511944062</v>
      </c>
      <c r="K31" s="53" t="n">
        <f aca="false">K23/K6</f>
        <v>0.387124254693526</v>
      </c>
      <c r="L31" s="53" t="n">
        <f aca="false">L23/L6</f>
        <v>0.388836996366398</v>
      </c>
      <c r="M31" s="1"/>
    </row>
    <row r="32" customFormat="false" ht="15" hidden="false" customHeight="false" outlineLevel="1" collapsed="false">
      <c r="A32" s="1"/>
      <c r="B32" s="34" t="s">
        <v>186</v>
      </c>
      <c r="C32" s="1"/>
      <c r="D32" s="53" t="n">
        <f aca="false">D13/D6</f>
        <v>0.240887304146172</v>
      </c>
      <c r="E32" s="53" t="n">
        <f aca="false">E13/E6</f>
        <v>0.270909455145653</v>
      </c>
      <c r="F32" s="53" t="n">
        <f aca="false">F13/F6</f>
        <v>0.282738485723717</v>
      </c>
      <c r="G32" s="53" t="n">
        <f aca="false">G13/G6</f>
        <v>0.288125660812317</v>
      </c>
      <c r="H32" s="53" t="n">
        <f aca="false">H13/H6</f>
        <v>0.290072812753256</v>
      </c>
      <c r="I32" s="53" t="n">
        <f aca="false">I13/I6</f>
        <v>0.292022422442775</v>
      </c>
      <c r="J32" s="53" t="n">
        <f aca="false">J13/J6</f>
        <v>0.293974376638686</v>
      </c>
      <c r="K32" s="53" t="n">
        <f aca="false">K13/K6</f>
        <v>0.295928567270166</v>
      </c>
      <c r="L32" s="53" t="n">
        <f aca="false">L13/L6</f>
        <v>0.29788489120356</v>
      </c>
      <c r="M32" s="1"/>
    </row>
    <row r="33" customFormat="false" ht="15" hidden="false" customHeight="false" outlineLevel="1" collapsed="false">
      <c r="A33" s="1"/>
      <c r="B33" s="34" t="s">
        <v>78</v>
      </c>
      <c r="C33" s="1"/>
      <c r="D33" s="53" t="n">
        <f aca="false">-D17/D16</f>
        <v>0.202478251197606</v>
      </c>
      <c r="E33" s="53" t="n">
        <f aca="false">-E17/E16</f>
        <v>0.215243947342472</v>
      </c>
      <c r="F33" s="53" t="n">
        <f aca="false">-F17/F16</f>
        <v>0.192192406810958</v>
      </c>
      <c r="G33" s="53" t="n">
        <f aca="false">Inputs!G21</f>
        <v>0.2</v>
      </c>
      <c r="H33" s="53" t="n">
        <f aca="false">Inputs!H21</f>
        <v>0.2</v>
      </c>
      <c r="I33" s="53" t="n">
        <f aca="false">Inputs!I21</f>
        <v>0.2</v>
      </c>
      <c r="J33" s="53" t="n">
        <f aca="false">Inputs!J21</f>
        <v>0.2</v>
      </c>
      <c r="K33" s="53" t="n">
        <f aca="false">Inputs!K21</f>
        <v>0.2</v>
      </c>
      <c r="L33" s="53" t="n">
        <f aca="false">Inputs!L21</f>
        <v>0.2</v>
      </c>
      <c r="M33" s="1"/>
    </row>
    <row r="34" customFormat="false" ht="15" hidden="false" customHeight="false" outlineLevel="1" collapsed="false">
      <c r="A34" s="1"/>
      <c r="B34" s="34" t="s">
        <v>187</v>
      </c>
      <c r="C34" s="1"/>
      <c r="D34" s="53" t="n">
        <f aca="false">D19/D18</f>
        <v>0.00711172433764083</v>
      </c>
      <c r="E34" s="53" t="n">
        <f aca="false">E19/E18</f>
        <v>0.00430153874048973</v>
      </c>
      <c r="F34" s="53" t="n">
        <f aca="false">F19/F18</f>
        <v>0.00264497386155043</v>
      </c>
      <c r="G34" s="53" t="n">
        <f aca="false">Inputs!G22</f>
        <v>0.003</v>
      </c>
      <c r="H34" s="53" t="n">
        <f aca="false">Inputs!H22</f>
        <v>0.003</v>
      </c>
      <c r="I34" s="53" t="n">
        <f aca="false">Inputs!I22</f>
        <v>0.003</v>
      </c>
      <c r="J34" s="53" t="n">
        <f aca="false">Inputs!J22</f>
        <v>0.003</v>
      </c>
      <c r="K34" s="53" t="n">
        <f aca="false">Inputs!K22</f>
        <v>0.003</v>
      </c>
      <c r="L34" s="53" t="n">
        <f aca="false">Inputs!L22</f>
        <v>0.003</v>
      </c>
      <c r="M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customFormat="false" ht="21" hidden="false" customHeight="true" outlineLevel="0" collapsed="false">
      <c r="A36" s="1"/>
      <c r="B36" s="26" t="s">
        <v>14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1"/>
    </row>
    <row r="37" customFormat="false" ht="15" hidden="false" customHeight="false" outlineLevel="1" collapsed="false">
      <c r="A37" s="1"/>
      <c r="B37" s="27" t="s">
        <v>188</v>
      </c>
      <c r="C37" s="1"/>
      <c r="D37" s="28"/>
      <c r="E37" s="28"/>
      <c r="F37" s="29" t="s">
        <v>164</v>
      </c>
      <c r="G37" s="28"/>
      <c r="H37" s="28"/>
      <c r="I37" s="28"/>
      <c r="J37" s="28"/>
      <c r="K37" s="28"/>
      <c r="L37" s="29" t="s">
        <v>50</v>
      </c>
      <c r="M37" s="1"/>
    </row>
    <row r="38" customFormat="false" ht="15" hidden="false" customHeight="false" outlineLevel="1" collapsed="false">
      <c r="A38" s="1"/>
      <c r="B38" s="1"/>
      <c r="C38" s="1"/>
      <c r="D38" s="44" t="n">
        <f aca="false">D$5</f>
        <v>2022</v>
      </c>
      <c r="E38" s="44" t="n">
        <f aca="false">E$5</f>
        <v>2023</v>
      </c>
      <c r="F38" s="44" t="n">
        <f aca="false">F$5</f>
        <v>2024</v>
      </c>
      <c r="G38" s="31" t="n">
        <f aca="false">G$5</f>
        <v>2025</v>
      </c>
      <c r="H38" s="31" t="n">
        <f aca="false">H$5</f>
        <v>2026</v>
      </c>
      <c r="I38" s="31" t="n">
        <f aca="false">I$5</f>
        <v>2027</v>
      </c>
      <c r="J38" s="31" t="n">
        <f aca="false">J$5</f>
        <v>2028</v>
      </c>
      <c r="K38" s="31" t="n">
        <f aca="false">K$5</f>
        <v>2029</v>
      </c>
      <c r="L38" s="31" t="n">
        <f aca="false">L$5</f>
        <v>2030</v>
      </c>
      <c r="M38" s="1"/>
    </row>
    <row r="39" customFormat="false" ht="15" hidden="false" customHeight="false" outlineLevel="1" collapsed="false">
      <c r="A39" s="1"/>
      <c r="B39" s="33" t="s">
        <v>189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customFormat="false" ht="15" hidden="false" customHeight="false" outlineLevel="1" collapsed="false">
      <c r="A40" s="1"/>
      <c r="B40" s="34" t="s">
        <v>190</v>
      </c>
      <c r="C40" s="1"/>
      <c r="D40" s="45" t="n">
        <v>5958</v>
      </c>
      <c r="E40" s="45" t="n">
        <v>6063</v>
      </c>
      <c r="F40" s="45" t="n">
        <v>6204</v>
      </c>
      <c r="G40" s="45" t="n">
        <f aca="false">F40*(1+Inputs!G9)</f>
        <v>6266.04</v>
      </c>
      <c r="H40" s="45" t="n">
        <f aca="false">G40*(1+Inputs!H9)</f>
        <v>6328.7004</v>
      </c>
      <c r="I40" s="45" t="n">
        <f aca="false">H40*(1+Inputs!I9)</f>
        <v>6391.987404</v>
      </c>
      <c r="J40" s="45" t="n">
        <f aca="false">I40*(1+Inputs!J9)</f>
        <v>6455.90727804</v>
      </c>
      <c r="K40" s="45" t="n">
        <f aca="false">J40*(1+Inputs!K9)</f>
        <v>6520.4663508204</v>
      </c>
      <c r="L40" s="45" t="n">
        <f aca="false">K40*(1+Inputs!L9)</f>
        <v>6585.6710143286</v>
      </c>
      <c r="M40" s="1"/>
    </row>
    <row r="41" customFormat="false" ht="15" hidden="false" customHeight="false" outlineLevel="1" collapsed="false">
      <c r="A41" s="1"/>
      <c r="B41" s="34" t="s">
        <v>191</v>
      </c>
      <c r="C41" s="1"/>
      <c r="D41" s="45" t="n">
        <v>3447</v>
      </c>
      <c r="E41" s="45" t="n">
        <v>3811</v>
      </c>
      <c r="F41" s="45" t="n">
        <v>4003</v>
      </c>
      <c r="G41" s="45" t="n">
        <f aca="false">F41*(1+Inputs!G10)</f>
        <v>4083.06</v>
      </c>
      <c r="H41" s="45" t="n">
        <f aca="false">G41*(1+Inputs!H10)</f>
        <v>4164.7212</v>
      </c>
      <c r="I41" s="45" t="n">
        <f aca="false">H41*(1+Inputs!I10)</f>
        <v>4248.015624</v>
      </c>
      <c r="J41" s="45" t="n">
        <f aca="false">I41*(1+Inputs!J10)</f>
        <v>4332.97593648</v>
      </c>
      <c r="K41" s="45" t="n">
        <f aca="false">J41*(1+Inputs!K10)</f>
        <v>4419.6354552096</v>
      </c>
      <c r="L41" s="45" t="n">
        <f aca="false">K41*(1+Inputs!L10)</f>
        <v>4508.02816431379</v>
      </c>
      <c r="M41" s="1"/>
    </row>
    <row r="42" customFormat="false" ht="15" hidden="false" customHeight="false" outlineLevel="1" collapsed="false">
      <c r="A42" s="1"/>
      <c r="B42" s="34" t="s">
        <v>192</v>
      </c>
      <c r="C42" s="1"/>
      <c r="D42" s="45" t="n">
        <v>1552</v>
      </c>
      <c r="E42" s="45" t="n">
        <v>1490</v>
      </c>
      <c r="F42" s="45" t="n">
        <v>1162</v>
      </c>
      <c r="G42" s="45" t="n">
        <f aca="false">F42*(1+Inputs!G11)</f>
        <v>1185.24</v>
      </c>
      <c r="H42" s="45" t="n">
        <f aca="false">G42*(1+Inputs!H11)</f>
        <v>1208.9448</v>
      </c>
      <c r="I42" s="45" t="n">
        <f aca="false">H42*(1+Inputs!I11)</f>
        <v>1233.123696</v>
      </c>
      <c r="J42" s="45" t="n">
        <f aca="false">I42*(1+Inputs!J11)</f>
        <v>1257.78616992</v>
      </c>
      <c r="K42" s="45" t="n">
        <f aca="false">J42*(1+Inputs!K11)</f>
        <v>1282.9418933184</v>
      </c>
      <c r="L42" s="45" t="n">
        <f aca="false">K42*(1+Inputs!L11)</f>
        <v>1308.60073118477</v>
      </c>
      <c r="M42" s="1"/>
    </row>
    <row r="43" customFormat="false" ht="15" hidden="false" customHeight="false" outlineLevel="1" collapsed="false">
      <c r="A43" s="1"/>
      <c r="B43" s="34" t="s">
        <v>193</v>
      </c>
      <c r="C43" s="1"/>
      <c r="D43" s="45" t="n">
        <v>2264</v>
      </c>
      <c r="E43" s="45" t="n">
        <v>2299</v>
      </c>
      <c r="F43" s="45" t="n">
        <v>2383</v>
      </c>
      <c r="G43" s="45" t="n">
        <f aca="false">F43*(1+Inputs!G12)</f>
        <v>2406.83</v>
      </c>
      <c r="H43" s="45" t="n">
        <f aca="false">G43*(1+Inputs!H12)</f>
        <v>2430.8983</v>
      </c>
      <c r="I43" s="45" t="n">
        <f aca="false">H43*(1+Inputs!I12)</f>
        <v>2455.207283</v>
      </c>
      <c r="J43" s="45" t="n">
        <f aca="false">I43*(1+Inputs!J12)</f>
        <v>2479.75935583</v>
      </c>
      <c r="K43" s="45" t="n">
        <f aca="false">J43*(1+Inputs!K12)</f>
        <v>2504.5569493883</v>
      </c>
      <c r="L43" s="45" t="n">
        <f aca="false">K43*(1+Inputs!L12)</f>
        <v>2529.60251888218</v>
      </c>
      <c r="M43" s="1"/>
    </row>
    <row r="44" customFormat="false" ht="15" hidden="false" customHeight="false" outlineLevel="1" collapsed="false">
      <c r="A44" s="1"/>
      <c r="B44" s="46" t="s">
        <v>194</v>
      </c>
      <c r="C44" s="47"/>
      <c r="D44" s="48" t="n">
        <f aca="false">SUM(D40:D43)</f>
        <v>13221</v>
      </c>
      <c r="E44" s="48" t="n">
        <f aca="false">SUM(E40:E43)</f>
        <v>13663</v>
      </c>
      <c r="F44" s="48" t="n">
        <f aca="false">SUM(F40:F43)</f>
        <v>13752</v>
      </c>
      <c r="G44" s="48" t="n">
        <f aca="false">SUM(G40:G43)</f>
        <v>13941.17</v>
      </c>
      <c r="H44" s="48" t="n">
        <f aca="false">SUM(H40:H43)</f>
        <v>14133.2647</v>
      </c>
      <c r="I44" s="48" t="n">
        <f aca="false">SUM(I40:I43)</f>
        <v>14328.334007</v>
      </c>
      <c r="J44" s="48" t="n">
        <f aca="false">SUM(J40:J43)</f>
        <v>14526.42874027</v>
      </c>
      <c r="K44" s="48" t="n">
        <f aca="false">SUM(K40:K43)</f>
        <v>14727.6006487367</v>
      </c>
      <c r="L44" s="48" t="n">
        <f aca="false">SUM(L40:L43)</f>
        <v>14931.9024287093</v>
      </c>
      <c r="M44" s="1"/>
    </row>
    <row r="45" customFormat="false" ht="15" hidden="false" customHeight="false" outlineLevel="1" collapsed="false">
      <c r="A45" s="1"/>
      <c r="B45" s="34" t="s">
        <v>195</v>
      </c>
      <c r="C45" s="1"/>
      <c r="D45" s="53"/>
      <c r="E45" s="53" t="n">
        <f aca="false">E44/D44-1</f>
        <v>0.0334316617502459</v>
      </c>
      <c r="F45" s="53" t="n">
        <f aca="false">F44/E44-1</f>
        <v>0.00651394276513218</v>
      </c>
      <c r="G45" s="53" t="n">
        <f aca="false">G44/F44-1</f>
        <v>0.0137558173356602</v>
      </c>
      <c r="H45" s="53" t="n">
        <f aca="false">H44/G44-1</f>
        <v>0.0137789511210322</v>
      </c>
      <c r="I45" s="53" t="n">
        <f aca="false">I44/H44-1</f>
        <v>0.0138021406335085</v>
      </c>
      <c r="J45" s="53" t="n">
        <f aca="false">J44/I44-1</f>
        <v>0.0138253849451877</v>
      </c>
      <c r="K45" s="53" t="n">
        <f aca="false">K44/J44-1</f>
        <v>0.013848683118447</v>
      </c>
      <c r="L45" s="53" t="n">
        <f aca="false">L44/K44-1</f>
        <v>0.0138720342060723</v>
      </c>
      <c r="M45" s="1"/>
    </row>
    <row r="46" customFormat="false" ht="15" hidden="false" customHeight="false" outlineLevel="1" collapsed="false">
      <c r="A46" s="1"/>
      <c r="B46" s="34" t="s">
        <v>196</v>
      </c>
      <c r="C46" s="1"/>
      <c r="D46" s="54" t="n">
        <f aca="false">D6*1000/D44</f>
        <v>385.390968913093</v>
      </c>
      <c r="E46" s="54" t="n">
        <f aca="false">E6*1000/E44</f>
        <v>436.957183634634</v>
      </c>
      <c r="F46" s="54" t="n">
        <f aca="false">F6*1000/F44</f>
        <v>485.505235602094</v>
      </c>
      <c r="G46" s="54" t="n">
        <f aca="false">F46*(1+Inputs!G13)</f>
        <v>509.780497382199</v>
      </c>
      <c r="H46" s="54" t="n">
        <f aca="false">G46*(1+Inputs!H13)</f>
        <v>527.622814790576</v>
      </c>
      <c r="I46" s="54" t="n">
        <f aca="false">H46*(1+Inputs!I13)</f>
        <v>546.089613308246</v>
      </c>
      <c r="J46" s="54" t="n">
        <f aca="false">I46*(1+Inputs!J13)</f>
        <v>565.202749774035</v>
      </c>
      <c r="K46" s="54" t="n">
        <f aca="false">J46*(1+Inputs!K13)</f>
        <v>584.984846016126</v>
      </c>
      <c r="L46" s="54" t="n">
        <f aca="false">K46*(1+Inputs!L13)</f>
        <v>605.45931562669</v>
      </c>
      <c r="M46" s="1"/>
    </row>
    <row r="47" customFormat="false" ht="15" hidden="false" customHeight="false" outlineLevel="1" collapsed="false">
      <c r="A47" s="1"/>
      <c r="B47" s="34" t="s">
        <v>197</v>
      </c>
      <c r="C47" s="1"/>
      <c r="D47" s="53"/>
      <c r="E47" s="53" t="n">
        <f aca="false">E46/D46-1</f>
        <v>0.13380234328524</v>
      </c>
      <c r="F47" s="53" t="n">
        <f aca="false">F46/E46-1</f>
        <v>0.111104826252392</v>
      </c>
      <c r="G47" s="53" t="n">
        <f aca="false">Inputs!G13</f>
        <v>0.05</v>
      </c>
      <c r="H47" s="53" t="n">
        <f aca="false">Inputs!H13</f>
        <v>0.035</v>
      </c>
      <c r="I47" s="53" t="n">
        <f aca="false">Inputs!I13</f>
        <v>0.035</v>
      </c>
      <c r="J47" s="53" t="n">
        <f aca="false">Inputs!J13</f>
        <v>0.035</v>
      </c>
      <c r="K47" s="53" t="n">
        <f aca="false">Inputs!K13</f>
        <v>0.035</v>
      </c>
      <c r="L47" s="53" t="n">
        <f aca="false">Inputs!L13</f>
        <v>0.035</v>
      </c>
      <c r="M47" s="1"/>
    </row>
    <row r="48" customFormat="false" ht="15" hidden="false" customHeight="false" outlineLevel="1" collapsed="false">
      <c r="A48" s="1"/>
      <c r="B48" s="49" t="s">
        <v>165</v>
      </c>
      <c r="C48" s="50"/>
      <c r="D48" s="51" t="n">
        <f aca="false">D44*D46/1000</f>
        <v>5095.254</v>
      </c>
      <c r="E48" s="51" t="n">
        <f aca="false">E44*E46/1000</f>
        <v>5970.146</v>
      </c>
      <c r="F48" s="51" t="n">
        <f aca="false">F44*F46/1000</f>
        <v>6676.668</v>
      </c>
      <c r="G48" s="51" t="n">
        <f aca="false">G44*G46/1000</f>
        <v>7106.93657668979</v>
      </c>
      <c r="H48" s="51" t="n">
        <f aca="false">H44*H46/1000</f>
        <v>7457.03290319429</v>
      </c>
      <c r="I48" s="51" t="n">
        <f aca="false">I44*I46/1000</f>
        <v>7824.55437723402</v>
      </c>
      <c r="J48" s="51" t="n">
        <f aca="false">J44*J46/1000</f>
        <v>8210.37746839717</v>
      </c>
      <c r="K48" s="51" t="n">
        <f aca="false">K44*K46/1000</f>
        <v>8615.42319768823</v>
      </c>
      <c r="L48" s="51" t="n">
        <f aca="false">L44*L46/1000</f>
        <v>9040.65942549087</v>
      </c>
      <c r="M48" s="1"/>
    </row>
    <row r="49" customFormat="false" ht="15" hidden="false" customHeight="false" outlineLevel="1" collapsed="false">
      <c r="A49" s="1"/>
      <c r="B49" s="34" t="s">
        <v>179</v>
      </c>
      <c r="C49" s="1"/>
      <c r="D49" s="53"/>
      <c r="E49" s="53" t="n">
        <f aca="false">E48/D48-1</f>
        <v>0.171707239717588</v>
      </c>
      <c r="F49" s="53" t="n">
        <f aca="false">F48/E48-1</f>
        <v>0.118342499496662</v>
      </c>
      <c r="G49" s="53" t="n">
        <f aca="false">G48/F48-1</f>
        <v>0.0644436082024433</v>
      </c>
      <c r="H49" s="53" t="n">
        <f aca="false">H48/G48-1</f>
        <v>0.0492612144102682</v>
      </c>
      <c r="I49" s="53" t="n">
        <f aca="false">I48/H48-1</f>
        <v>0.0492852155556811</v>
      </c>
      <c r="J49" s="53" t="n">
        <f aca="false">J48/I48-1</f>
        <v>0.049309273418269</v>
      </c>
      <c r="K49" s="53" t="n">
        <f aca="false">K48/J48-1</f>
        <v>0.0493333870275925</v>
      </c>
      <c r="L49" s="53" t="n">
        <f aca="false">L48/K48-1</f>
        <v>0.0493575554032848</v>
      </c>
      <c r="M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customFormat="false" ht="21" hidden="false" customHeight="true" outlineLevel="0" collapsed="false">
      <c r="A51" s="1"/>
      <c r="B51" s="26" t="s">
        <v>16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1"/>
    </row>
    <row r="52" customFormat="false" ht="15" hidden="false" customHeight="false" outlineLevel="1" collapsed="false">
      <c r="A52" s="1"/>
      <c r="B52" s="27" t="s">
        <v>49</v>
      </c>
      <c r="C52" s="1"/>
      <c r="D52" s="28"/>
      <c r="E52" s="28"/>
      <c r="F52" s="29" t="s">
        <v>164</v>
      </c>
      <c r="G52" s="28"/>
      <c r="H52" s="28"/>
      <c r="I52" s="28"/>
      <c r="J52" s="28"/>
      <c r="K52" s="28"/>
      <c r="L52" s="29" t="s">
        <v>50</v>
      </c>
      <c r="M52" s="1"/>
    </row>
    <row r="53" customFormat="false" ht="15" hidden="false" customHeight="false" outlineLevel="1" collapsed="false">
      <c r="A53" s="1"/>
      <c r="B53" s="1"/>
      <c r="C53" s="1"/>
      <c r="D53" s="44" t="n">
        <f aca="false">D$5</f>
        <v>2022</v>
      </c>
      <c r="E53" s="44" t="n">
        <f aca="false">E$5</f>
        <v>2023</v>
      </c>
      <c r="F53" s="44" t="n">
        <f aca="false">F$5</f>
        <v>2024</v>
      </c>
      <c r="G53" s="31" t="n">
        <f aca="false">G$5</f>
        <v>2025</v>
      </c>
      <c r="H53" s="31" t="n">
        <f aca="false">H$5</f>
        <v>2026</v>
      </c>
      <c r="I53" s="31" t="n">
        <f aca="false">I$5</f>
        <v>2027</v>
      </c>
      <c r="J53" s="31" t="n">
        <f aca="false">J$5</f>
        <v>2028</v>
      </c>
      <c r="K53" s="31" t="n">
        <f aca="false">K$5</f>
        <v>2029</v>
      </c>
      <c r="L53" s="31" t="n">
        <f aca="false">L$5</f>
        <v>2030</v>
      </c>
      <c r="M53" s="1"/>
    </row>
    <row r="54" customFormat="false" ht="15" hidden="false" customHeight="false" outlineLevel="1" collapsed="false">
      <c r="A54" s="1"/>
      <c r="B54" s="33" t="s">
        <v>198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customFormat="false" ht="15" hidden="false" customHeight="false" outlineLevel="1" collapsed="false">
      <c r="A55" s="1"/>
      <c r="B55" s="34" t="s">
        <v>199</v>
      </c>
      <c r="C55" s="1"/>
      <c r="D55" s="45" t="n">
        <v>785.182</v>
      </c>
      <c r="E55" s="45" t="n">
        <v>785.182</v>
      </c>
      <c r="F55" s="45" t="n">
        <v>785.182</v>
      </c>
      <c r="G55" s="45" t="n">
        <f aca="false">F55</f>
        <v>785.182</v>
      </c>
      <c r="H55" s="45" t="n">
        <f aca="false">G55</f>
        <v>785.182</v>
      </c>
      <c r="I55" s="45" t="n">
        <f aca="false">H55</f>
        <v>785.182</v>
      </c>
      <c r="J55" s="45" t="n">
        <f aca="false">I55</f>
        <v>785.182</v>
      </c>
      <c r="K55" s="45" t="n">
        <f aca="false">J55</f>
        <v>785.182</v>
      </c>
      <c r="L55" s="45" t="n">
        <f aca="false">K55</f>
        <v>785.182</v>
      </c>
      <c r="M55" s="1"/>
    </row>
    <row r="56" customFormat="false" ht="15" hidden="false" customHeight="false" outlineLevel="1" collapsed="false">
      <c r="A56" s="1"/>
      <c r="B56" s="34" t="s">
        <v>200</v>
      </c>
      <c r="C56" s="1"/>
      <c r="D56" s="45" t="n">
        <v>1307.388</v>
      </c>
      <c r="E56" s="45" t="n">
        <v>1419.699</v>
      </c>
      <c r="F56" s="45" t="n">
        <v>1545.664</v>
      </c>
      <c r="G56" s="45" t="n">
        <f aca="false">G197</f>
        <v>1536.52143287132</v>
      </c>
      <c r="H56" s="45" t="n">
        <f aca="false">H197</f>
        <v>1549.78456434388</v>
      </c>
      <c r="I56" s="45" t="n">
        <f aca="false">I197</f>
        <v>1580.44190060206</v>
      </c>
      <c r="J56" s="45" t="n">
        <f aca="false">J197</f>
        <v>1624.87498693935</v>
      </c>
      <c r="K56" s="45" t="n">
        <f aca="false">K197</f>
        <v>1680.48761270783</v>
      </c>
      <c r="L56" s="45" t="n">
        <f aca="false">L197</f>
        <v>1745.43451975511</v>
      </c>
      <c r="M56" s="1"/>
    </row>
    <row r="57" customFormat="false" ht="15" hidden="false" customHeight="false" outlineLevel="1" collapsed="false">
      <c r="A57" s="1"/>
      <c r="B57" s="34" t="s">
        <v>201</v>
      </c>
      <c r="C57" s="1"/>
      <c r="D57" s="45" t="n">
        <v>1457.825</v>
      </c>
      <c r="E57" s="45" t="n">
        <v>1575.2</v>
      </c>
      <c r="F57" s="45" t="n">
        <v>1828.784</v>
      </c>
      <c r="G57" s="45" t="n">
        <f aca="false">G192</f>
        <v>1975.81264144801</v>
      </c>
      <c r="H57" s="45" t="n">
        <f aca="false">H192</f>
        <v>2121.82771682332</v>
      </c>
      <c r="I57" s="45" t="n">
        <f aca="false">I192</f>
        <v>2267.98685176351</v>
      </c>
      <c r="J57" s="45" t="n">
        <f aca="false">J192</f>
        <v>2415.33065142484</v>
      </c>
      <c r="K57" s="45" t="n">
        <f aca="false">K192</f>
        <v>2564.80225243415</v>
      </c>
      <c r="L57" s="45" t="n">
        <f aca="false">L192</f>
        <v>2717.26417250967</v>
      </c>
      <c r="M57" s="1"/>
    </row>
    <row r="58" customFormat="false" ht="15" hidden="false" customHeight="false" outlineLevel="1" collapsed="false">
      <c r="A58" s="1"/>
      <c r="B58" s="34" t="s">
        <v>202</v>
      </c>
      <c r="C58" s="1"/>
      <c r="D58" s="45" t="n">
        <v>59.534</v>
      </c>
      <c r="E58" s="45" t="n">
        <v>67.671</v>
      </c>
      <c r="F58" s="45" t="n">
        <v>80.822</v>
      </c>
      <c r="G58" s="45" t="n">
        <f aca="false">F58</f>
        <v>80.822</v>
      </c>
      <c r="H58" s="45" t="n">
        <f aca="false">G58</f>
        <v>80.822</v>
      </c>
      <c r="I58" s="45" t="n">
        <f aca="false">H58</f>
        <v>80.822</v>
      </c>
      <c r="J58" s="45" t="n">
        <f aca="false">I58</f>
        <v>80.822</v>
      </c>
      <c r="K58" s="45" t="n">
        <f aca="false">J58</f>
        <v>80.822</v>
      </c>
      <c r="L58" s="45" t="n">
        <f aca="false">K58</f>
        <v>80.822</v>
      </c>
      <c r="M58" s="1"/>
    </row>
    <row r="59" customFormat="false" ht="15" hidden="false" customHeight="false" outlineLevel="1" collapsed="false">
      <c r="A59" s="1"/>
      <c r="B59" s="34" t="s">
        <v>203</v>
      </c>
      <c r="C59" s="1"/>
      <c r="D59" s="45" t="n">
        <v>203.382</v>
      </c>
      <c r="E59" s="45" t="n">
        <v>217.553</v>
      </c>
      <c r="F59" s="45" t="n">
        <v>236.791</v>
      </c>
      <c r="G59" s="45" t="n">
        <f aca="false">F59</f>
        <v>236.791</v>
      </c>
      <c r="H59" s="45" t="n">
        <f aca="false">G59</f>
        <v>236.791</v>
      </c>
      <c r="I59" s="45" t="n">
        <f aca="false">H59</f>
        <v>236.791</v>
      </c>
      <c r="J59" s="45" t="n">
        <f aca="false">I59</f>
        <v>236.791</v>
      </c>
      <c r="K59" s="45" t="n">
        <f aca="false">J59</f>
        <v>236.791</v>
      </c>
      <c r="L59" s="45" t="n">
        <f aca="false">K59</f>
        <v>236.791</v>
      </c>
      <c r="M59" s="1"/>
    </row>
    <row r="60" customFormat="false" ht="15" hidden="false" customHeight="false" outlineLevel="1" collapsed="false">
      <c r="A60" s="1"/>
      <c r="B60" s="46" t="s">
        <v>204</v>
      </c>
      <c r="C60" s="47"/>
      <c r="D60" s="48" t="n">
        <f aca="false">SUM(D55:D59)</f>
        <v>3813.311</v>
      </c>
      <c r="E60" s="48" t="n">
        <f aca="false">SUM(E55:E59)</f>
        <v>4065.305</v>
      </c>
      <c r="F60" s="48" t="n">
        <f aca="false">SUM(F55:F59)</f>
        <v>4477.243</v>
      </c>
      <c r="G60" s="48" t="n">
        <f aca="false">SUM(G55:G59)</f>
        <v>4615.12907431933</v>
      </c>
      <c r="H60" s="48" t="n">
        <f aca="false">SUM(H55:H59)</f>
        <v>4774.4072811672</v>
      </c>
      <c r="I60" s="48" t="n">
        <f aca="false">SUM(I55:I59)</f>
        <v>4951.22375236557</v>
      </c>
      <c r="J60" s="48" t="n">
        <f aca="false">SUM(J55:J59)</f>
        <v>5143.00063836418</v>
      </c>
      <c r="K60" s="48" t="n">
        <f aca="false">SUM(K55:K59)</f>
        <v>5348.08486514198</v>
      </c>
      <c r="L60" s="48" t="n">
        <f aca="false">SUM(L55:L59)</f>
        <v>5565.49369226478</v>
      </c>
      <c r="M60" s="1"/>
    </row>
    <row r="61" customFormat="false" ht="15" hidden="false" customHeight="false" outlineLevel="1" collapsed="false">
      <c r="A61" s="1"/>
      <c r="B61" s="34" t="s">
        <v>88</v>
      </c>
      <c r="C61" s="1"/>
      <c r="D61" s="45" t="n">
        <v>674.662</v>
      </c>
      <c r="E61" s="45" t="n">
        <v>948.514</v>
      </c>
      <c r="F61" s="45" t="n">
        <v>1088.194</v>
      </c>
      <c r="G61" s="45" t="n">
        <f aca="false">G178</f>
        <v>1146.94273712305</v>
      </c>
      <c r="H61" s="45" t="n">
        <f aca="false">H178</f>
        <v>1198.58013515534</v>
      </c>
      <c r="I61" s="45" t="n">
        <f aca="false">I178</f>
        <v>1252.55037728057</v>
      </c>
      <c r="J61" s="45" t="n">
        <f aca="false">J178</f>
        <v>1308.95911031096</v>
      </c>
      <c r="K61" s="45" t="n">
        <f aca="false">K178</f>
        <v>1367.91676870035</v>
      </c>
      <c r="L61" s="45" t="n">
        <f aca="false">L178</f>
        <v>1429.53879107454</v>
      </c>
      <c r="M61" s="1"/>
    </row>
    <row r="62" customFormat="false" ht="15" hidden="false" customHeight="false" outlineLevel="1" collapsed="false">
      <c r="A62" s="1"/>
      <c r="B62" s="34" t="s">
        <v>85</v>
      </c>
      <c r="C62" s="1"/>
      <c r="D62" s="45" t="n">
        <v>232.414</v>
      </c>
      <c r="E62" s="45" t="n">
        <v>261.38</v>
      </c>
      <c r="F62" s="45" t="n">
        <v>349.176</v>
      </c>
      <c r="G62" s="45" t="n">
        <f aca="false">G177</f>
        <v>369.950123170154</v>
      </c>
      <c r="H62" s="45" t="n">
        <f aca="false">H177</f>
        <v>388.174315508744</v>
      </c>
      <c r="I62" s="45" t="n">
        <f aca="false">I177</f>
        <v>407.305570321771</v>
      </c>
      <c r="J62" s="45" t="n">
        <f aca="false">J177</f>
        <v>427.389512053551</v>
      </c>
      <c r="K62" s="45" t="n">
        <f aca="false">K177</f>
        <v>448.474084263223</v>
      </c>
      <c r="L62" s="45" t="n">
        <f aca="false">L177</f>
        <v>470.609668724182</v>
      </c>
      <c r="M62" s="1"/>
    </row>
    <row r="63" customFormat="false" ht="15" hidden="false" customHeight="false" outlineLevel="1" collapsed="false">
      <c r="A63" s="1"/>
      <c r="B63" s="34" t="s">
        <v>92</v>
      </c>
      <c r="C63" s="1"/>
      <c r="D63" s="45" t="n">
        <v>1399.997</v>
      </c>
      <c r="E63" s="45" t="n">
        <v>1451.158</v>
      </c>
      <c r="F63" s="45" t="n">
        <v>1661.632</v>
      </c>
      <c r="G63" s="45" t="n">
        <f aca="false">G180</f>
        <v>1769.62720759576</v>
      </c>
      <c r="H63" s="45" t="n">
        <f aca="false">H180</f>
        <v>1856.80119289538</v>
      </c>
      <c r="I63" s="45" t="n">
        <f aca="false">I180</f>
        <v>1948.31403993127</v>
      </c>
      <c r="J63" s="45" t="n">
        <f aca="false">J180</f>
        <v>2044.38398963089</v>
      </c>
      <c r="K63" s="45" t="n">
        <f aca="false">K180</f>
        <v>2145.24037622437</v>
      </c>
      <c r="L63" s="45" t="n">
        <f aca="false">L180</f>
        <v>2251.12419694723</v>
      </c>
      <c r="M63" s="1"/>
    </row>
    <row r="64" customFormat="false" ht="15" hidden="false" customHeight="false" outlineLevel="1" collapsed="false">
      <c r="A64" s="1"/>
      <c r="B64" s="34" t="s">
        <v>205</v>
      </c>
      <c r="C64" s="1"/>
      <c r="D64" s="45" t="n">
        <v>16.054</v>
      </c>
      <c r="E64" s="45" t="n">
        <v>11.616</v>
      </c>
      <c r="F64" s="45" t="n">
        <v>15.918</v>
      </c>
      <c r="G64" s="45" t="n">
        <f aca="false">F64</f>
        <v>15.918</v>
      </c>
      <c r="H64" s="45" t="n">
        <f aca="false">G64</f>
        <v>15.918</v>
      </c>
      <c r="I64" s="45" t="n">
        <f aca="false">H64</f>
        <v>15.918</v>
      </c>
      <c r="J64" s="45" t="n">
        <f aca="false">I64</f>
        <v>15.918</v>
      </c>
      <c r="K64" s="45" t="n">
        <f aca="false">J64</f>
        <v>15.918</v>
      </c>
      <c r="L64" s="45" t="n">
        <f aca="false">K64</f>
        <v>15.918</v>
      </c>
      <c r="M64" s="1"/>
    </row>
    <row r="65" customFormat="false" ht="15" hidden="false" customHeight="false" outlineLevel="1" collapsed="false">
      <c r="A65" s="1"/>
      <c r="B65" s="34" t="s">
        <v>94</v>
      </c>
      <c r="C65" s="1"/>
      <c r="D65" s="45" t="n">
        <v>153.183</v>
      </c>
      <c r="E65" s="45" t="n">
        <v>130.228</v>
      </c>
      <c r="F65" s="45" t="n">
        <v>137.763</v>
      </c>
      <c r="G65" s="45" t="n">
        <f aca="false">G181</f>
        <v>149.245668110486</v>
      </c>
      <c r="H65" s="45" t="n">
        <f aca="false">H181</f>
        <v>156.59769096708</v>
      </c>
      <c r="I65" s="45" t="n">
        <f aca="false">I181</f>
        <v>164.315641921914</v>
      </c>
      <c r="J65" s="45" t="n">
        <f aca="false">J181</f>
        <v>172.417926836341</v>
      </c>
      <c r="K65" s="45" t="n">
        <f aca="false">K181</f>
        <v>180.923887151453</v>
      </c>
      <c r="L65" s="45" t="n">
        <f aca="false">L181</f>
        <v>189.853847935308</v>
      </c>
      <c r="M65" s="1"/>
    </row>
    <row r="66" customFormat="false" ht="15" hidden="false" customHeight="false" outlineLevel="1" collapsed="false">
      <c r="A66" s="1"/>
      <c r="B66" s="34" t="s">
        <v>206</v>
      </c>
      <c r="C66" s="1"/>
      <c r="D66" s="45" t="n">
        <v>87.301</v>
      </c>
      <c r="E66" s="45" t="n">
        <v>61.13</v>
      </c>
      <c r="F66" s="45" t="n">
        <v>25.006</v>
      </c>
      <c r="G66" s="45" t="n">
        <f aca="false">F66</f>
        <v>25.006</v>
      </c>
      <c r="H66" s="45" t="n">
        <f aca="false">G66</f>
        <v>25.006</v>
      </c>
      <c r="I66" s="45" t="n">
        <f aca="false">H66</f>
        <v>25.006</v>
      </c>
      <c r="J66" s="45" t="n">
        <f aca="false">I66</f>
        <v>25.006</v>
      </c>
      <c r="K66" s="45" t="n">
        <f aca="false">J66</f>
        <v>25.006</v>
      </c>
      <c r="L66" s="45" t="n">
        <f aca="false">K66</f>
        <v>25.006</v>
      </c>
      <c r="M66" s="1"/>
    </row>
    <row r="67" customFormat="false" ht="15" hidden="false" customHeight="false" outlineLevel="1" collapsed="false">
      <c r="A67" s="1"/>
      <c r="B67" s="34" t="s">
        <v>207</v>
      </c>
      <c r="C67" s="1"/>
      <c r="D67" s="45" t="n">
        <v>1388.901</v>
      </c>
      <c r="E67" s="45" t="n">
        <v>1121.981</v>
      </c>
      <c r="F67" s="45" t="n">
        <v>1742.214</v>
      </c>
      <c r="G67" s="45" t="n">
        <f aca="false">G114</f>
        <v>2060.41434808384</v>
      </c>
      <c r="H67" s="45" t="n">
        <f aca="false">H114</f>
        <v>2251.16672413634</v>
      </c>
      <c r="I67" s="45" t="n">
        <f aca="false">I114</f>
        <v>2406.1335261627</v>
      </c>
      <c r="J67" s="45" t="n">
        <f aca="false">J114</f>
        <v>2608.56695177674</v>
      </c>
      <c r="K67" s="45" t="n">
        <f aca="false">K114</f>
        <v>2864.55053978145</v>
      </c>
      <c r="L67" s="45" t="n">
        <f aca="false">L114</f>
        <v>3179.25638447055</v>
      </c>
      <c r="M67" s="1"/>
    </row>
    <row r="68" customFormat="false" ht="15" hidden="false" customHeight="false" outlineLevel="1" collapsed="false">
      <c r="A68" s="1"/>
      <c r="B68" s="46" t="s">
        <v>208</v>
      </c>
      <c r="C68" s="47"/>
      <c r="D68" s="48" t="n">
        <f aca="false">SUM(D61:D67)</f>
        <v>3952.512</v>
      </c>
      <c r="E68" s="48" t="n">
        <f aca="false">SUM(E61:E67)</f>
        <v>3986.007</v>
      </c>
      <c r="F68" s="48" t="n">
        <f aca="false">SUM(F61:F67)</f>
        <v>5019.903</v>
      </c>
      <c r="G68" s="48" t="n">
        <f aca="false">SUM(G61:G67)</f>
        <v>5537.10408408329</v>
      </c>
      <c r="H68" s="48" t="n">
        <f aca="false">SUM(H61:H67)</f>
        <v>5892.24405866288</v>
      </c>
      <c r="I68" s="48" t="n">
        <f aca="false">SUM(I61:I67)</f>
        <v>6219.54315561823</v>
      </c>
      <c r="J68" s="48" t="n">
        <f aca="false">SUM(J61:J67)</f>
        <v>6602.64149060848</v>
      </c>
      <c r="K68" s="48" t="n">
        <f aca="false">SUM(K61:K67)</f>
        <v>7048.02965612084</v>
      </c>
      <c r="L68" s="48" t="n">
        <f aca="false">SUM(L61:L67)</f>
        <v>7561.30688915181</v>
      </c>
      <c r="M68" s="1"/>
    </row>
    <row r="69" customFormat="false" ht="15" hidden="false" customHeight="false" outlineLevel="1" collapsed="false">
      <c r="A69" s="1"/>
      <c r="B69" s="49" t="s">
        <v>209</v>
      </c>
      <c r="C69" s="50"/>
      <c r="D69" s="51" t="n">
        <f aca="false">D60+D68</f>
        <v>7765.823</v>
      </c>
      <c r="E69" s="51" t="n">
        <f aca="false">E60+E68</f>
        <v>8051.312</v>
      </c>
      <c r="F69" s="51" t="n">
        <f aca="false">F60+F68</f>
        <v>9497.146</v>
      </c>
      <c r="G69" s="51" t="n">
        <f aca="false">G60+G68</f>
        <v>10152.2331584026</v>
      </c>
      <c r="H69" s="51" t="n">
        <f aca="false">H60+H68</f>
        <v>10666.6513398301</v>
      </c>
      <c r="I69" s="51" t="n">
        <f aca="false">I60+I68</f>
        <v>11170.7669079838</v>
      </c>
      <c r="J69" s="51" t="n">
        <f aca="false">J60+J68</f>
        <v>11745.6421289727</v>
      </c>
      <c r="K69" s="51" t="n">
        <f aca="false">K60+K68</f>
        <v>12396.1145212628</v>
      </c>
      <c r="L69" s="51" t="n">
        <f aca="false">L60+L68</f>
        <v>13126.8005814166</v>
      </c>
      <c r="M69" s="1"/>
    </row>
    <row r="70" customFormat="false" ht="15" hidden="false" customHeight="false" outlineLevel="1" collapsed="false">
      <c r="A70" s="1"/>
      <c r="B70" s="33" t="s">
        <v>210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customFormat="false" ht="15" hidden="false" customHeight="false" outlineLevel="1" collapsed="false">
      <c r="A71" s="1"/>
      <c r="B71" s="34" t="s">
        <v>211</v>
      </c>
      <c r="C71" s="1"/>
      <c r="D71" s="45" t="n">
        <v>2592.857</v>
      </c>
      <c r="E71" s="45" t="n">
        <v>3060.888</v>
      </c>
      <c r="F71" s="45" t="n">
        <v>3533.946</v>
      </c>
      <c r="G71" s="45" t="n">
        <f aca="false">G224</f>
        <v>4044.68652959475</v>
      </c>
      <c r="H71" s="45" t="n">
        <f aca="false">H224</f>
        <v>4445.00725238689</v>
      </c>
      <c r="I71" s="45" t="n">
        <f aca="false">I224</f>
        <v>4829.55381972601</v>
      </c>
      <c r="J71" s="45" t="n">
        <f aca="false">J224</f>
        <v>5279.12350322498</v>
      </c>
      <c r="K71" s="45" t="n">
        <f aca="false">K224</f>
        <v>5798.27586606751</v>
      </c>
      <c r="L71" s="45" t="n">
        <f aca="false">L224</f>
        <v>6391.33584878185</v>
      </c>
      <c r="M71" s="1"/>
    </row>
    <row r="72" customFormat="false" ht="15" hidden="false" customHeight="false" outlineLevel="1" collapsed="false">
      <c r="A72" s="1"/>
      <c r="B72" s="34" t="s">
        <v>81</v>
      </c>
      <c r="C72" s="1"/>
      <c r="D72" s="45" t="n">
        <v>9.63</v>
      </c>
      <c r="E72" s="45" t="n">
        <v>9.734</v>
      </c>
      <c r="F72" s="45" t="n">
        <v>9.292</v>
      </c>
      <c r="G72" s="45" t="n">
        <f aca="false">F72</f>
        <v>9.292</v>
      </c>
      <c r="H72" s="45" t="n">
        <f aca="false">G72</f>
        <v>9.292</v>
      </c>
      <c r="I72" s="45" t="n">
        <f aca="false">H72</f>
        <v>9.292</v>
      </c>
      <c r="J72" s="45" t="n">
        <f aca="false">I72</f>
        <v>9.292</v>
      </c>
      <c r="K72" s="45" t="n">
        <f aca="false">J72</f>
        <v>9.292</v>
      </c>
      <c r="L72" s="45" t="n">
        <f aca="false">K72</f>
        <v>9.292</v>
      </c>
      <c r="M72" s="1"/>
    </row>
    <row r="73" customFormat="false" ht="15" hidden="false" customHeight="false" outlineLevel="1" collapsed="false">
      <c r="A73" s="1"/>
      <c r="B73" s="46" t="s">
        <v>212</v>
      </c>
      <c r="C73" s="47"/>
      <c r="D73" s="48" t="n">
        <f aca="false">SUM(D71:D72)</f>
        <v>2602.487</v>
      </c>
      <c r="E73" s="48" t="n">
        <f aca="false">SUM(E71:E72)</f>
        <v>3070.622</v>
      </c>
      <c r="F73" s="48" t="n">
        <f aca="false">SUM(F71:F72)</f>
        <v>3543.238</v>
      </c>
      <c r="G73" s="48" t="n">
        <f aca="false">SUM(G71:G72)</f>
        <v>4053.97852959475</v>
      </c>
      <c r="H73" s="48" t="n">
        <f aca="false">SUM(H71:H72)</f>
        <v>4454.29925238689</v>
      </c>
      <c r="I73" s="48" t="n">
        <f aca="false">SUM(I71:I72)</f>
        <v>4838.84581972601</v>
      </c>
      <c r="J73" s="48" t="n">
        <f aca="false">SUM(J71:J72)</f>
        <v>5288.41550322498</v>
      </c>
      <c r="K73" s="48" t="n">
        <f aca="false">SUM(K71:K72)</f>
        <v>5807.56786606751</v>
      </c>
      <c r="L73" s="48" t="n">
        <f aca="false">SUM(L71:L72)</f>
        <v>6400.62784878185</v>
      </c>
      <c r="M73" s="1"/>
    </row>
    <row r="74" customFormat="false" ht="15" hidden="false" customHeight="false" outlineLevel="1" collapsed="false">
      <c r="A74" s="1"/>
      <c r="B74" s="34" t="s">
        <v>213</v>
      </c>
      <c r="C74" s="1"/>
      <c r="D74" s="45" t="n">
        <v>110.807</v>
      </c>
      <c r="E74" s="45" t="n">
        <v>123.045</v>
      </c>
      <c r="F74" s="45" t="n">
        <v>134.147</v>
      </c>
      <c r="G74" s="45" t="n">
        <f aca="false">F74</f>
        <v>134.147</v>
      </c>
      <c r="H74" s="45" t="n">
        <f aca="false">G74</f>
        <v>134.147</v>
      </c>
      <c r="I74" s="45" t="n">
        <f aca="false">H74</f>
        <v>134.147</v>
      </c>
      <c r="J74" s="45" t="n">
        <f aca="false">I74</f>
        <v>134.147</v>
      </c>
      <c r="K74" s="45" t="n">
        <f aca="false">J74</f>
        <v>134.147</v>
      </c>
      <c r="L74" s="45" t="n">
        <f aca="false">K74</f>
        <v>134.147</v>
      </c>
      <c r="M74" s="1"/>
    </row>
    <row r="75" customFormat="false" ht="15" hidden="false" customHeight="false" outlineLevel="1" collapsed="false">
      <c r="A75" s="1"/>
      <c r="B75" s="34" t="s">
        <v>98</v>
      </c>
      <c r="C75" s="1"/>
      <c r="D75" s="45" t="n">
        <v>180.694</v>
      </c>
      <c r="E75" s="45" t="n">
        <v>187.276</v>
      </c>
      <c r="F75" s="45" t="n">
        <v>206.212</v>
      </c>
      <c r="G75" s="45" t="n">
        <f aca="false">G183</f>
        <v>220.315033877384</v>
      </c>
      <c r="H75" s="45" t="n">
        <f aca="false">H183</f>
        <v>231.168019999023</v>
      </c>
      <c r="I75" s="45" t="n">
        <f aca="false">I183</f>
        <v>242.561185694255</v>
      </c>
      <c r="J75" s="45" t="n">
        <f aca="false">J183</f>
        <v>254.521701520312</v>
      </c>
      <c r="K75" s="45" t="n">
        <f aca="false">K183</f>
        <v>267.078119128335</v>
      </c>
      <c r="L75" s="45" t="n">
        <f aca="false">L183</f>
        <v>280.260442190217</v>
      </c>
      <c r="M75" s="1"/>
    </row>
    <row r="76" customFormat="false" ht="15" hidden="false" customHeight="false" outlineLevel="1" collapsed="false">
      <c r="A76" s="1"/>
      <c r="B76" s="34" t="s">
        <v>214</v>
      </c>
      <c r="C76" s="1"/>
      <c r="D76" s="45" t="n">
        <v>126.507</v>
      </c>
      <c r="E76" s="45" t="n">
        <v>136.846</v>
      </c>
      <c r="F76" s="45" t="n">
        <v>110.016</v>
      </c>
      <c r="G76" s="45" t="n">
        <f aca="false">F76</f>
        <v>110.016</v>
      </c>
      <c r="H76" s="45" t="n">
        <f aca="false">G76</f>
        <v>110.016</v>
      </c>
      <c r="I76" s="45" t="n">
        <f aca="false">H76</f>
        <v>110.016</v>
      </c>
      <c r="J76" s="45" t="n">
        <f aca="false">I76</f>
        <v>110.016</v>
      </c>
      <c r="K76" s="45" t="n">
        <f aca="false">J76</f>
        <v>110.016</v>
      </c>
      <c r="L76" s="45" t="n">
        <f aca="false">K76</f>
        <v>110.016</v>
      </c>
      <c r="M76" s="1"/>
    </row>
    <row r="77" customFormat="false" ht="15" hidden="false" customHeight="false" outlineLevel="1" collapsed="false">
      <c r="A77" s="1"/>
      <c r="B77" s="34" t="s">
        <v>215</v>
      </c>
      <c r="C77" s="1"/>
      <c r="D77" s="45" t="n">
        <v>2811.779</v>
      </c>
      <c r="E77" s="45" t="n">
        <v>2477.186</v>
      </c>
      <c r="F77" s="45" t="n">
        <v>3351.888</v>
      </c>
      <c r="G77" s="45" t="n">
        <f aca="false">G211</f>
        <v>3351.888</v>
      </c>
      <c r="H77" s="45" t="n">
        <f aca="false">H211</f>
        <v>3351.888</v>
      </c>
      <c r="I77" s="45" t="n">
        <f aca="false">I211</f>
        <v>3351.888</v>
      </c>
      <c r="J77" s="45" t="n">
        <f aca="false">J211</f>
        <v>3351.888</v>
      </c>
      <c r="K77" s="45" t="n">
        <f aca="false">K211</f>
        <v>3351.888</v>
      </c>
      <c r="L77" s="45" t="n">
        <f aca="false">L211</f>
        <v>3351.888</v>
      </c>
      <c r="M77" s="1"/>
    </row>
    <row r="78" customFormat="false" ht="15" hidden="false" customHeight="false" outlineLevel="1" collapsed="false">
      <c r="A78" s="1"/>
      <c r="B78" s="34" t="s">
        <v>96</v>
      </c>
      <c r="C78" s="1"/>
      <c r="D78" s="45" t="n">
        <v>952.025</v>
      </c>
      <c r="E78" s="45" t="n">
        <v>1022.967</v>
      </c>
      <c r="F78" s="45" t="n">
        <v>1106.221</v>
      </c>
      <c r="G78" s="45" t="n">
        <f aca="false">G182</f>
        <v>1179.75147173051</v>
      </c>
      <c r="H78" s="45" t="n">
        <f aca="false">H182</f>
        <v>1237.86746193025</v>
      </c>
      <c r="I78" s="45" t="n">
        <f aca="false">I182</f>
        <v>1298.87602662085</v>
      </c>
      <c r="J78" s="45" t="n">
        <f aca="false">J182</f>
        <v>1362.92265975393</v>
      </c>
      <c r="K78" s="45" t="n">
        <f aca="false">K182</f>
        <v>1430.16025081625</v>
      </c>
      <c r="L78" s="45" t="n">
        <f aca="false">L182</f>
        <v>1500.74946463149</v>
      </c>
      <c r="M78" s="1"/>
    </row>
    <row r="79" customFormat="false" ht="15" hidden="false" customHeight="false" outlineLevel="1" collapsed="false">
      <c r="A79" s="1"/>
      <c r="B79" s="34" t="s">
        <v>216</v>
      </c>
      <c r="C79" s="1"/>
      <c r="D79" s="45" t="n">
        <v>19.993</v>
      </c>
      <c r="E79" s="45" t="n">
        <v>13.539</v>
      </c>
      <c r="F79" s="45" t="n">
        <v>61.894</v>
      </c>
      <c r="G79" s="45" t="n">
        <f aca="false">F79</f>
        <v>61.894</v>
      </c>
      <c r="H79" s="45" t="n">
        <f aca="false">G79</f>
        <v>61.894</v>
      </c>
      <c r="I79" s="45" t="n">
        <f aca="false">H79</f>
        <v>61.894</v>
      </c>
      <c r="J79" s="45" t="n">
        <f aca="false">I79</f>
        <v>61.894</v>
      </c>
      <c r="K79" s="45" t="n">
        <f aca="false">J79</f>
        <v>61.894</v>
      </c>
      <c r="L79" s="45" t="n">
        <f aca="false">K79</f>
        <v>61.894</v>
      </c>
      <c r="M79" s="1"/>
    </row>
    <row r="80" customFormat="false" ht="15" hidden="false" customHeight="false" outlineLevel="1" collapsed="false">
      <c r="A80" s="1"/>
      <c r="B80" s="34" t="s">
        <v>90</v>
      </c>
      <c r="C80" s="1"/>
      <c r="D80" s="45" t="n">
        <v>902.968</v>
      </c>
      <c r="E80" s="45" t="n">
        <v>930.56</v>
      </c>
      <c r="F80" s="45" t="n">
        <v>945.657</v>
      </c>
      <c r="G80" s="45" t="n">
        <f aca="false">G179</f>
        <v>1002.37012319997</v>
      </c>
      <c r="H80" s="45" t="n">
        <f aca="false">H179</f>
        <v>1047.49860551391</v>
      </c>
      <c r="I80" s="45" t="n">
        <f aca="false">I179</f>
        <v>1094.66587594268</v>
      </c>
      <c r="J80" s="45" t="n">
        <f aca="false">J179</f>
        <v>1143.96426447344</v>
      </c>
      <c r="K80" s="45" t="n">
        <f aca="false">K179</f>
        <v>1195.49028525072</v>
      </c>
      <c r="L80" s="45" t="n">
        <f aca="false">L179</f>
        <v>1249.34482581304</v>
      </c>
      <c r="M80" s="1"/>
    </row>
    <row r="81" customFormat="false" ht="15" hidden="false" customHeight="false" outlineLevel="1" collapsed="false">
      <c r="A81" s="1"/>
      <c r="B81" s="34" t="s">
        <v>217</v>
      </c>
      <c r="C81" s="1"/>
      <c r="D81" s="45" t="n">
        <v>58.563</v>
      </c>
      <c r="E81" s="45" t="n">
        <v>89.271</v>
      </c>
      <c r="F81" s="45" t="n">
        <v>37.873</v>
      </c>
      <c r="G81" s="45" t="n">
        <f aca="false">F81</f>
        <v>37.873</v>
      </c>
      <c r="H81" s="45" t="n">
        <f aca="false">G81</f>
        <v>37.873</v>
      </c>
      <c r="I81" s="45" t="n">
        <f aca="false">H81</f>
        <v>37.873</v>
      </c>
      <c r="J81" s="45" t="n">
        <f aca="false">I81</f>
        <v>37.873</v>
      </c>
      <c r="K81" s="45" t="n">
        <f aca="false">J81</f>
        <v>37.873</v>
      </c>
      <c r="L81" s="45" t="n">
        <f aca="false">K81</f>
        <v>37.873</v>
      </c>
      <c r="M81" s="1"/>
    </row>
    <row r="82" customFormat="false" ht="15" hidden="false" customHeight="false" outlineLevel="1" collapsed="false">
      <c r="A82" s="1"/>
      <c r="B82" s="46" t="s">
        <v>218</v>
      </c>
      <c r="C82" s="47"/>
      <c r="D82" s="48" t="n">
        <f aca="false">SUM(D74:D81)</f>
        <v>5163.336</v>
      </c>
      <c r="E82" s="48" t="n">
        <f aca="false">SUM(E74:E81)</f>
        <v>4980.69</v>
      </c>
      <c r="F82" s="48" t="n">
        <f aca="false">SUM(F74:F81)</f>
        <v>5953.908</v>
      </c>
      <c r="G82" s="48" t="n">
        <f aca="false">SUM(G74:G81)</f>
        <v>6098.25462880786</v>
      </c>
      <c r="H82" s="48" t="n">
        <f aca="false">SUM(H74:H81)</f>
        <v>6212.35208744318</v>
      </c>
      <c r="I82" s="48" t="n">
        <f aca="false">SUM(I74:I81)</f>
        <v>6331.92108825778</v>
      </c>
      <c r="J82" s="48" t="n">
        <f aca="false">SUM(J74:J81)</f>
        <v>6457.22662574768</v>
      </c>
      <c r="K82" s="48" t="n">
        <f aca="false">SUM(K74:K81)</f>
        <v>6588.5466551953</v>
      </c>
      <c r="L82" s="48" t="n">
        <f aca="false">SUM(L74:L81)</f>
        <v>6726.17273263474</v>
      </c>
      <c r="M82" s="1"/>
    </row>
    <row r="83" customFormat="false" ht="15" hidden="false" customHeight="false" outlineLevel="1" collapsed="false">
      <c r="A83" s="1"/>
      <c r="B83" s="49" t="s">
        <v>219</v>
      </c>
      <c r="C83" s="50"/>
      <c r="D83" s="51" t="n">
        <f aca="false">D73+D82</f>
        <v>7765.823</v>
      </c>
      <c r="E83" s="51" t="n">
        <f aca="false">E73+E82</f>
        <v>8051.312</v>
      </c>
      <c r="F83" s="51" t="n">
        <f aca="false">F73+F82</f>
        <v>9497.146</v>
      </c>
      <c r="G83" s="51" t="n">
        <f aca="false">G73+G82</f>
        <v>10152.2331584026</v>
      </c>
      <c r="H83" s="51" t="n">
        <f aca="false">H73+H82</f>
        <v>10666.6513398301</v>
      </c>
      <c r="I83" s="51" t="n">
        <f aca="false">I73+I82</f>
        <v>11170.7669079838</v>
      </c>
      <c r="J83" s="51" t="n">
        <f aca="false">J73+J82</f>
        <v>11745.6421289727</v>
      </c>
      <c r="K83" s="51" t="n">
        <f aca="false">K73+K82</f>
        <v>12396.1145212628</v>
      </c>
      <c r="L83" s="51" t="n">
        <f aca="false">L73+L82</f>
        <v>13126.8005814166</v>
      </c>
      <c r="M83" s="1"/>
    </row>
    <row r="84" customFormat="false" ht="15" hidden="false" customHeight="false" outlineLevel="1" collapsed="false">
      <c r="A84" s="1"/>
      <c r="B84" s="55" t="s">
        <v>220</v>
      </c>
      <c r="C84" s="1"/>
      <c r="D84" s="56" t="n">
        <f aca="false">ROUND(D69-D83,3)</f>
        <v>0</v>
      </c>
      <c r="E84" s="56" t="n">
        <f aca="false">ROUND(E69-E83,3)</f>
        <v>0</v>
      </c>
      <c r="F84" s="56" t="n">
        <f aca="false">ROUND(F69-F83,3)</f>
        <v>0</v>
      </c>
      <c r="G84" s="56" t="n">
        <f aca="false">ROUND(G69-G83,3)</f>
        <v>0</v>
      </c>
      <c r="H84" s="56" t="n">
        <f aca="false">ROUND(H69-H83,3)</f>
        <v>0</v>
      </c>
      <c r="I84" s="56" t="n">
        <f aca="false">ROUND(I69-I83,3)</f>
        <v>0</v>
      </c>
      <c r="J84" s="56" t="n">
        <f aca="false">ROUND(J69-J83,3)</f>
        <v>0</v>
      </c>
      <c r="K84" s="56" t="n">
        <f aca="false">ROUND(K69-K83,3)</f>
        <v>0</v>
      </c>
      <c r="L84" s="56" t="n">
        <f aca="false">ROUND(L69-L83,3)</f>
        <v>0</v>
      </c>
      <c r="M84" s="1"/>
    </row>
    <row r="85" customFormat="false" ht="15" hidden="false" customHeight="false" outlineLevel="1" collapsed="false">
      <c r="A85" s="1"/>
      <c r="B85" s="55" t="s">
        <v>221</v>
      </c>
      <c r="C85" s="1"/>
      <c r="D85" s="57" t="n">
        <f aca="false">IF(D67&lt;0,1,0)</f>
        <v>0</v>
      </c>
      <c r="E85" s="57" t="n">
        <f aca="false">IF(E67&lt;0,1,0)</f>
        <v>0</v>
      </c>
      <c r="F85" s="57" t="n">
        <f aca="false">IF(F67&lt;0,1,0)</f>
        <v>0</v>
      </c>
      <c r="G85" s="57" t="n">
        <f aca="false">IF(G67&lt;0,1,0)</f>
        <v>0</v>
      </c>
      <c r="H85" s="57" t="n">
        <f aca="false">IF(H67&lt;0,1,0)</f>
        <v>0</v>
      </c>
      <c r="I85" s="57" t="n">
        <f aca="false">IF(I67&lt;0,1,0)</f>
        <v>0</v>
      </c>
      <c r="J85" s="57" t="n">
        <f aca="false">IF(J67&lt;0,1,0)</f>
        <v>0</v>
      </c>
      <c r="K85" s="57" t="n">
        <f aca="false">IF(K67&lt;0,1,0)</f>
        <v>0</v>
      </c>
      <c r="L85" s="57" t="n">
        <f aca="false">IF(L67&lt;0,1,0)</f>
        <v>0</v>
      </c>
      <c r="M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customFormat="false" ht="21" hidden="false" customHeight="true" outlineLevel="0" collapsed="false">
      <c r="A87" s="1"/>
      <c r="B87" s="26" t="s">
        <v>18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1"/>
    </row>
    <row r="88" customFormat="false" ht="15" hidden="false" customHeight="false" outlineLevel="1" collapsed="false">
      <c r="A88" s="1"/>
      <c r="B88" s="27" t="s">
        <v>49</v>
      </c>
      <c r="C88" s="1"/>
      <c r="D88" s="28"/>
      <c r="E88" s="28"/>
      <c r="F88" s="29" t="s">
        <v>164</v>
      </c>
      <c r="G88" s="28"/>
      <c r="H88" s="28"/>
      <c r="I88" s="28"/>
      <c r="J88" s="28"/>
      <c r="K88" s="28"/>
      <c r="L88" s="29" t="s">
        <v>50</v>
      </c>
      <c r="M88" s="1"/>
    </row>
    <row r="89" customFormat="false" ht="15" hidden="false" customHeight="false" outlineLevel="1" collapsed="false">
      <c r="A89" s="1"/>
      <c r="B89" s="1"/>
      <c r="C89" s="1"/>
      <c r="D89" s="44" t="n">
        <f aca="false">D$5</f>
        <v>2022</v>
      </c>
      <c r="E89" s="44" t="n">
        <f aca="false">E$5</f>
        <v>2023</v>
      </c>
      <c r="F89" s="44" t="n">
        <f aca="false">F$5</f>
        <v>2024</v>
      </c>
      <c r="G89" s="31" t="n">
        <f aca="false">G$5</f>
        <v>2025</v>
      </c>
      <c r="H89" s="31" t="n">
        <f aca="false">H$5</f>
        <v>2026</v>
      </c>
      <c r="I89" s="31" t="n">
        <f aca="false">I$5</f>
        <v>2027</v>
      </c>
      <c r="J89" s="31" t="n">
        <f aca="false">J$5</f>
        <v>2028</v>
      </c>
      <c r="K89" s="31" t="n">
        <f aca="false">K$5</f>
        <v>2029</v>
      </c>
      <c r="L89" s="31" t="n">
        <f aca="false">L$5</f>
        <v>2030</v>
      </c>
      <c r="M89" s="1"/>
    </row>
    <row r="90" customFormat="false" ht="15" hidden="false" customHeight="false" outlineLevel="1" collapsed="false">
      <c r="A90" s="1"/>
      <c r="B90" s="33" t="s">
        <v>222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customFormat="false" ht="15" hidden="false" customHeight="false" outlineLevel="1" collapsed="false">
      <c r="A91" s="1"/>
      <c r="B91" s="34" t="s">
        <v>172</v>
      </c>
      <c r="C91" s="1"/>
      <c r="D91" s="45" t="n">
        <f aca="false">D18</f>
        <v>939.294</v>
      </c>
      <c r="E91" s="45" t="n">
        <f aca="false">E18</f>
        <v>1257.457</v>
      </c>
      <c r="F91" s="45" t="n">
        <f aca="false">F18</f>
        <v>1525.913</v>
      </c>
      <c r="G91" s="45" t="n">
        <f aca="false">G18</f>
        <v>1548.04160440798</v>
      </c>
      <c r="H91" s="45" t="n">
        <f aca="false">H18</f>
        <v>1645.44617918786</v>
      </c>
      <c r="I91" s="45" t="n">
        <f aca="false">I18</f>
        <v>1745.98846900626</v>
      </c>
      <c r="J91" s="45" t="n">
        <f aca="false">J18</f>
        <v>1851.4241574109</v>
      </c>
      <c r="K91" s="45" t="n">
        <f aca="false">K18</f>
        <v>1963.39048828285</v>
      </c>
      <c r="L91" s="45" t="n">
        <f aca="false">L18</f>
        <v>2082.30703053313</v>
      </c>
      <c r="M91" s="1"/>
    </row>
    <row r="92" customFormat="false" ht="15" hidden="false" customHeight="false" outlineLevel="1" collapsed="false">
      <c r="A92" s="1"/>
      <c r="B92" s="34" t="s">
        <v>176</v>
      </c>
      <c r="C92" s="1"/>
      <c r="D92" s="45" t="n">
        <f aca="false">D22</f>
        <v>546.225</v>
      </c>
      <c r="E92" s="45" t="n">
        <f aca="false">E22</f>
        <v>662.305</v>
      </c>
      <c r="F92" s="45" t="n">
        <f aca="false">F22</f>
        <v>666.777</v>
      </c>
      <c r="G92" s="45" t="n">
        <f aca="false">G22</f>
        <v>679.411632</v>
      </c>
      <c r="H92" s="45" t="n">
        <f aca="false">H22</f>
        <v>698.280577019474</v>
      </c>
      <c r="I92" s="45" t="n">
        <f aca="false">I22</f>
        <v>723.00728218354</v>
      </c>
      <c r="J92" s="45" t="n">
        <f aca="false">J22</f>
        <v>752.41652286706</v>
      </c>
      <c r="K92" s="45" t="n">
        <f aca="false">K22</f>
        <v>785.689440956346</v>
      </c>
      <c r="L92" s="45" t="n">
        <f aca="false">L22</f>
        <v>822.267006808651</v>
      </c>
      <c r="M92" s="1"/>
    </row>
    <row r="93" customFormat="false" ht="15" hidden="false" customHeight="false" outlineLevel="1" collapsed="false">
      <c r="A93" s="1"/>
      <c r="B93" s="34" t="s">
        <v>223</v>
      </c>
      <c r="C93" s="1"/>
      <c r="D93" s="45" t="n">
        <v>-48.4</v>
      </c>
      <c r="E93" s="45" t="n">
        <v>-33.381</v>
      </c>
      <c r="F93" s="45" t="n">
        <v>-94.029</v>
      </c>
      <c r="G93" s="45" t="n">
        <f aca="false">F62-G62</f>
        <v>-20.7741231701535</v>
      </c>
      <c r="H93" s="45" t="n">
        <f aca="false">G62-H62</f>
        <v>-18.2241923385901</v>
      </c>
      <c r="I93" s="45" t="n">
        <f aca="false">H62-I62</f>
        <v>-19.1312548130273</v>
      </c>
      <c r="J93" s="45" t="n">
        <f aca="false">I62-J62</f>
        <v>-20.0839417317803</v>
      </c>
      <c r="K93" s="45" t="n">
        <f aca="false">J62-K62</f>
        <v>-21.0845722096718</v>
      </c>
      <c r="L93" s="45" t="n">
        <f aca="false">K62-L62</f>
        <v>-22.1355844609594</v>
      </c>
      <c r="M93" s="1"/>
    </row>
    <row r="94" customFormat="false" ht="15" hidden="false" customHeight="false" outlineLevel="1" collapsed="false">
      <c r="A94" s="1"/>
      <c r="B94" s="34" t="s">
        <v>224</v>
      </c>
      <c r="C94" s="1"/>
      <c r="D94" s="45" t="n">
        <v>-153.89</v>
      </c>
      <c r="E94" s="45" t="n">
        <v>-309.564</v>
      </c>
      <c r="F94" s="45" t="n">
        <v>-157.526</v>
      </c>
      <c r="G94" s="45" t="n">
        <f aca="false">F61-G61</f>
        <v>-58.748737123047</v>
      </c>
      <c r="H94" s="45" t="n">
        <f aca="false">G61-H61</f>
        <v>-51.6373980322931</v>
      </c>
      <c r="I94" s="45" t="n">
        <f aca="false">H61-I61</f>
        <v>-53.9702421252262</v>
      </c>
      <c r="J94" s="45" t="n">
        <f aca="false">I61-J61</f>
        <v>-56.4087330303917</v>
      </c>
      <c r="K94" s="45" t="n">
        <f aca="false">J61-K61</f>
        <v>-58.9576583893875</v>
      </c>
      <c r="L94" s="45" t="n">
        <f aca="false">K61-L61</f>
        <v>-61.6220223741907</v>
      </c>
      <c r="M94" s="1"/>
    </row>
    <row r="95" customFormat="false" ht="15" hidden="false" customHeight="false" outlineLevel="1" collapsed="false">
      <c r="A95" s="1"/>
      <c r="B95" s="34" t="s">
        <v>225</v>
      </c>
      <c r="C95" s="1"/>
      <c r="D95" s="45" t="n">
        <v>-187.89</v>
      </c>
      <c r="E95" s="45" t="n">
        <v>-107.247</v>
      </c>
      <c r="F95" s="45" t="n">
        <v>-118.687</v>
      </c>
      <c r="G95" s="45" t="n">
        <f aca="false">F63-G63</f>
        <v>-107.995207595758</v>
      </c>
      <c r="H95" s="45" t="n">
        <f aca="false">G63-H63</f>
        <v>-87.1739852996191</v>
      </c>
      <c r="I95" s="45" t="n">
        <f aca="false">H63-I63</f>
        <v>-91.5128470358943</v>
      </c>
      <c r="J95" s="45" t="n">
        <f aca="false">I63-J63</f>
        <v>-96.0699496996235</v>
      </c>
      <c r="K95" s="45" t="n">
        <f aca="false">J63-K63</f>
        <v>-100.856386593475</v>
      </c>
      <c r="L95" s="45" t="n">
        <f aca="false">K63-L63</f>
        <v>-105.883820722858</v>
      </c>
      <c r="M95" s="1"/>
    </row>
    <row r="96" customFormat="false" ht="15" hidden="false" customHeight="false" outlineLevel="1" collapsed="false">
      <c r="A96" s="1"/>
      <c r="B96" s="34" t="s">
        <v>226</v>
      </c>
      <c r="C96" s="1"/>
      <c r="D96" s="45" t="n">
        <v>103.981</v>
      </c>
      <c r="E96" s="45" t="n">
        <v>43.277</v>
      </c>
      <c r="F96" s="45" t="n">
        <v>7.672</v>
      </c>
      <c r="G96" s="45" t="n">
        <f aca="false">G80-F80</f>
        <v>56.7131231999737</v>
      </c>
      <c r="H96" s="45" t="n">
        <f aca="false">H80-G80</f>
        <v>45.128482313937</v>
      </c>
      <c r="I96" s="45" t="n">
        <f aca="false">I80-H80</f>
        <v>47.1672704287691</v>
      </c>
      <c r="J96" s="45" t="n">
        <f aca="false">J80-I80</f>
        <v>49.2983885307622</v>
      </c>
      <c r="K96" s="45" t="n">
        <f aca="false">K80-J80</f>
        <v>51.5260207772799</v>
      </c>
      <c r="L96" s="45" t="n">
        <f aca="false">L80-K80</f>
        <v>53.8545405623181</v>
      </c>
      <c r="M96" s="1"/>
    </row>
    <row r="97" customFormat="false" ht="15" hidden="false" customHeight="false" outlineLevel="1" collapsed="false">
      <c r="A97" s="1"/>
      <c r="B97" s="34" t="s">
        <v>227</v>
      </c>
      <c r="C97" s="1"/>
      <c r="D97" s="45" t="n">
        <v>140.008</v>
      </c>
      <c r="E97" s="45" t="n">
        <v>48.642</v>
      </c>
      <c r="F97" s="45" t="n">
        <v>-20.045</v>
      </c>
      <c r="G97" s="45" t="n">
        <f aca="false">(F65-G65)+(G78-F78)</f>
        <v>62.0478036200197</v>
      </c>
      <c r="H97" s="45" t="n">
        <f aca="false">(G65-H65)+(H78-G78)</f>
        <v>50.7639673431516</v>
      </c>
      <c r="I97" s="45" t="n">
        <f aca="false">(H65-I65)+(I78-H78)</f>
        <v>53.2906137357619</v>
      </c>
      <c r="J97" s="45" t="n">
        <f aca="false">(I65-J65)+(J78-I78)</f>
        <v>55.9443482186564</v>
      </c>
      <c r="K97" s="45" t="n">
        <f aca="false">(J65-K65)+(K78-J78)</f>
        <v>58.731630747204</v>
      </c>
      <c r="L97" s="45" t="n">
        <f aca="false">(K65-L65)+(L78-K78)</f>
        <v>61.6592530313831</v>
      </c>
      <c r="M97" s="1"/>
    </row>
    <row r="98" customFormat="false" ht="15" hidden="false" customHeight="false" outlineLevel="1" collapsed="false">
      <c r="A98" s="1"/>
      <c r="B98" s="34" t="s">
        <v>228</v>
      </c>
      <c r="C98" s="1"/>
      <c r="D98" s="45" t="n">
        <v>64.012</v>
      </c>
      <c r="E98" s="45" t="n">
        <v>155.148</v>
      </c>
      <c r="F98" s="45" t="n">
        <v>116.581</v>
      </c>
      <c r="G98" s="45" t="n">
        <f aca="false">(G75-F75)+(G74-F74)+(G81-F81)+(F64-G64)+(F59-G59)+(G76-F76)</f>
        <v>14.1030338773835</v>
      </c>
      <c r="H98" s="45" t="n">
        <f aca="false">(H75-G75)+(H74-G74)+(H81-G81)+(G64-H64)+(G59-H59)+(H76-G76)</f>
        <v>10.8529861216393</v>
      </c>
      <c r="I98" s="45" t="n">
        <f aca="false">(I75-H75)+(I74-H74)+(I81-H81)+(H64-I64)+(H59-I59)+(I76-H76)</f>
        <v>11.3931656952319</v>
      </c>
      <c r="J98" s="45" t="n">
        <f aca="false">(J75-I75)+(J74-I74)+(J81-I81)+(I64-J64)+(I59-J59)+(J76-I76)</f>
        <v>11.9605158260575</v>
      </c>
      <c r="K98" s="45" t="n">
        <f aca="false">(K75-J75)+(K74-J74)+(K81-J81)+(J64-K64)+(J59-K59)+(K76-J76)</f>
        <v>12.556417608023</v>
      </c>
      <c r="L98" s="45" t="n">
        <f aca="false">(L75-K75)+(L74-K74)+(L81-K81)+(K64-L64)+(K59-L59)+(L76-K76)</f>
        <v>13.1823230618818</v>
      </c>
      <c r="M98" s="1"/>
    </row>
    <row r="99" customFormat="false" ht="15" hidden="false" customHeight="false" outlineLevel="1" collapsed="false">
      <c r="A99" s="1"/>
      <c r="B99" s="46" t="s">
        <v>229</v>
      </c>
      <c r="C99" s="47"/>
      <c r="D99" s="48" t="n">
        <f aca="false">SUM(D91:D98)</f>
        <v>1403.34</v>
      </c>
      <c r="E99" s="48" t="n">
        <f aca="false">SUM(E91:E98)</f>
        <v>1716.637</v>
      </c>
      <c r="F99" s="48" t="n">
        <f aca="false">SUM(F91:F98)</f>
        <v>1926.656</v>
      </c>
      <c r="G99" s="48" t="n">
        <f aca="false">SUM(G91:G98)</f>
        <v>2172.79912921639</v>
      </c>
      <c r="H99" s="48" t="n">
        <f aca="false">SUM(H91:H98)</f>
        <v>2293.43661631556</v>
      </c>
      <c r="I99" s="48" t="n">
        <f aca="false">SUM(I91:I98)</f>
        <v>2416.23245707542</v>
      </c>
      <c r="J99" s="48" t="n">
        <f aca="false">SUM(J91:J98)</f>
        <v>2548.48130839164</v>
      </c>
      <c r="K99" s="48" t="n">
        <f aca="false">SUM(K91:K98)</f>
        <v>2690.99538117917</v>
      </c>
      <c r="L99" s="48" t="n">
        <f aca="false">SUM(L91:L98)</f>
        <v>2843.62872643936</v>
      </c>
      <c r="M99" s="1"/>
    </row>
    <row r="100" customFormat="false" ht="15" hidden="false" customHeight="false" outlineLevel="1" collapsed="false">
      <c r="A100" s="1"/>
      <c r="B100" s="33" t="s">
        <v>230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customFormat="false" ht="15" hidden="false" customHeight="false" outlineLevel="1" collapsed="false">
      <c r="A101" s="1"/>
      <c r="B101" s="34" t="s">
        <v>231</v>
      </c>
      <c r="C101" s="1"/>
      <c r="D101" s="45" t="n">
        <v>-456.894</v>
      </c>
      <c r="E101" s="45" t="n">
        <v>-487.148</v>
      </c>
      <c r="F101" s="45" t="n">
        <v>-506.874</v>
      </c>
      <c r="G101" s="45" t="n">
        <f aca="false">-G195</f>
        <v>-405.095384871318</v>
      </c>
      <c r="H101" s="45" t="n">
        <f aca="false">-H195</f>
        <v>-425.050875482074</v>
      </c>
      <c r="I101" s="45" t="n">
        <f aca="false">-I195</f>
        <v>-445.999599502339</v>
      </c>
      <c r="J101" s="45" t="n">
        <f aca="false">-J195</f>
        <v>-467.991515698639</v>
      </c>
      <c r="K101" s="45" t="n">
        <f aca="false">-K195</f>
        <v>-491.079122268229</v>
      </c>
      <c r="L101" s="45" t="n">
        <f aca="false">-L195</f>
        <v>-515.31758725298</v>
      </c>
      <c r="M101" s="1"/>
    </row>
    <row r="102" customFormat="false" ht="15" hidden="false" customHeight="false" outlineLevel="1" collapsed="false">
      <c r="A102" s="1"/>
      <c r="B102" s="34" t="s">
        <v>232</v>
      </c>
      <c r="C102" s="1"/>
      <c r="D102" s="45" t="n">
        <v>-347.725</v>
      </c>
      <c r="E102" s="45" t="n">
        <v>-381.762</v>
      </c>
      <c r="F102" s="45" t="n">
        <v>-482.277</v>
      </c>
      <c r="G102" s="45" t="n">
        <f aca="false">-G190</f>
        <v>-412.202321448008</v>
      </c>
      <c r="H102" s="45" t="n">
        <f aca="false">-H190</f>
        <v>-432.507908385269</v>
      </c>
      <c r="I102" s="45" t="n">
        <f aca="false">-I190</f>
        <v>-453.824153879573</v>
      </c>
      <c r="J102" s="45" t="n">
        <f aca="false">-J190</f>
        <v>-476.201893167036</v>
      </c>
      <c r="K102" s="45" t="n">
        <f aca="false">-K190</f>
        <v>-499.694545465917</v>
      </c>
      <c r="L102" s="45" t="n">
        <f aca="false">-L190</f>
        <v>-524.358246678471</v>
      </c>
      <c r="M102" s="1"/>
    </row>
    <row r="103" customFormat="false" ht="15" hidden="false" customHeight="false" outlineLevel="1" collapsed="false">
      <c r="A103" s="1"/>
      <c r="B103" s="34" t="s">
        <v>233</v>
      </c>
      <c r="C103" s="1"/>
      <c r="D103" s="45" t="n">
        <v>-0.789</v>
      </c>
      <c r="E103" s="45" t="n">
        <v>2.458</v>
      </c>
      <c r="F103" s="45" t="n">
        <v>2.041</v>
      </c>
      <c r="G103" s="45" t="n">
        <f aca="false">(F55-G55)+(F58-G58)+(F66-G66)</f>
        <v>0</v>
      </c>
      <c r="H103" s="45" t="n">
        <f aca="false">(G55-H55)+(G58-H58)+(G66-H66)</f>
        <v>0</v>
      </c>
      <c r="I103" s="45" t="n">
        <f aca="false">(H55-I55)+(H58-I58)+(H66-I66)</f>
        <v>0</v>
      </c>
      <c r="J103" s="45" t="n">
        <f aca="false">(I55-J55)+(I58-J58)+(I66-J66)</f>
        <v>0</v>
      </c>
      <c r="K103" s="45" t="n">
        <f aca="false">(J55-K55)+(J58-K58)+(J66-K66)</f>
        <v>0</v>
      </c>
      <c r="L103" s="45" t="n">
        <f aca="false">(K55-L55)+(K58-L58)+(K66-L66)</f>
        <v>0</v>
      </c>
      <c r="M103" s="1"/>
    </row>
    <row r="104" customFormat="false" ht="15" hidden="false" customHeight="false" outlineLevel="1" collapsed="false">
      <c r="A104" s="1"/>
      <c r="B104" s="46" t="s">
        <v>234</v>
      </c>
      <c r="C104" s="47"/>
      <c r="D104" s="48" t="n">
        <f aca="false">SUM(D101:D103)</f>
        <v>-805.408</v>
      </c>
      <c r="E104" s="48" t="n">
        <f aca="false">SUM(E101:E103)</f>
        <v>-866.452</v>
      </c>
      <c r="F104" s="48" t="n">
        <f aca="false">SUM(F101:F103)</f>
        <v>-987.11</v>
      </c>
      <c r="G104" s="48" t="n">
        <f aca="false">SUM(G101:G103)</f>
        <v>-817.297706319326</v>
      </c>
      <c r="H104" s="48" t="n">
        <f aca="false">SUM(H101:H103)</f>
        <v>-857.558783867343</v>
      </c>
      <c r="I104" s="48" t="n">
        <f aca="false">SUM(I101:I103)</f>
        <v>-899.823753381913</v>
      </c>
      <c r="J104" s="48" t="n">
        <f aca="false">SUM(J101:J103)</f>
        <v>-944.193408865674</v>
      </c>
      <c r="K104" s="48" t="n">
        <f aca="false">SUM(K101:K103)</f>
        <v>-990.773667734147</v>
      </c>
      <c r="L104" s="48" t="n">
        <f aca="false">SUM(L101:L103)</f>
        <v>-1039.67583393145</v>
      </c>
      <c r="M104" s="1"/>
    </row>
    <row r="105" customFormat="false" ht="15" hidden="false" customHeight="false" outlineLevel="1" collapsed="false">
      <c r="A105" s="1"/>
      <c r="B105" s="33" t="s">
        <v>235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customFormat="false" ht="15" hidden="false" customHeight="false" outlineLevel="1" collapsed="false">
      <c r="A106" s="1"/>
      <c r="B106" s="34" t="s">
        <v>236</v>
      </c>
      <c r="C106" s="1"/>
      <c r="D106" s="45" t="n">
        <v>94.75</v>
      </c>
      <c r="E106" s="45" t="n">
        <v>-315.257</v>
      </c>
      <c r="F106" s="45" t="n">
        <v>701.029</v>
      </c>
      <c r="G106" s="45" t="n">
        <f aca="false">(G77-F77)+(G79-F79)</f>
        <v>0</v>
      </c>
      <c r="H106" s="45" t="n">
        <f aca="false">(H77-G77)+(H79-G79)</f>
        <v>0</v>
      </c>
      <c r="I106" s="45" t="n">
        <f aca="false">(I77-H77)+(I79-H79)</f>
        <v>0</v>
      </c>
      <c r="J106" s="45" t="n">
        <f aca="false">(J77-I77)+(J79-I79)</f>
        <v>0</v>
      </c>
      <c r="K106" s="45" t="n">
        <f aca="false">(K77-J77)+(K79-J79)</f>
        <v>0</v>
      </c>
      <c r="L106" s="45" t="n">
        <f aca="false">(L77-K77)+(L79-K79)</f>
        <v>0</v>
      </c>
      <c r="M106" s="1"/>
    </row>
    <row r="107" customFormat="false" ht="15" hidden="false" customHeight="false" outlineLevel="1" collapsed="false">
      <c r="A107" s="1"/>
      <c r="B107" s="34" t="s">
        <v>237</v>
      </c>
      <c r="C107" s="1"/>
      <c r="D107" s="45" t="n">
        <v>-249.522</v>
      </c>
      <c r="E107" s="45" t="n">
        <v>-328.631</v>
      </c>
      <c r="F107" s="45" t="n">
        <v>-439.918</v>
      </c>
      <c r="G107" s="45" t="n">
        <f aca="false">G221</f>
        <v>-532.65695</v>
      </c>
      <c r="H107" s="45" t="n">
        <f aca="false">H221</f>
        <v>-540.189117858163</v>
      </c>
      <c r="I107" s="45" t="n">
        <f aca="false">I221</f>
        <v>-656.203936260119</v>
      </c>
      <c r="J107" s="45" t="n">
        <f aca="false">J221</f>
        <v>-696.300201439697</v>
      </c>
      <c r="K107" s="45" t="n">
        <f aca="false">K221</f>
        <v>-738.347953975467</v>
      </c>
      <c r="L107" s="45" t="n">
        <f aca="false">L221</f>
        <v>-783.000126727201</v>
      </c>
      <c r="M107" s="1"/>
    </row>
    <row r="108" customFormat="false" ht="15" hidden="false" customHeight="false" outlineLevel="1" collapsed="false">
      <c r="A108" s="1"/>
      <c r="B108" s="34" t="s">
        <v>238</v>
      </c>
      <c r="C108" s="1"/>
      <c r="D108" s="45" t="n">
        <v>-2.266</v>
      </c>
      <c r="E108" s="45" t="n">
        <v>-4.89</v>
      </c>
      <c r="F108" s="45" t="n">
        <v>-4.788</v>
      </c>
      <c r="G108" s="45" t="n">
        <f aca="false">-G19</f>
        <v>-4.64412481322393</v>
      </c>
      <c r="H108" s="45" t="n">
        <f aca="false">-H19</f>
        <v>-4.93633853756358</v>
      </c>
      <c r="I108" s="45" t="n">
        <f aca="false">-I19</f>
        <v>-5.23796540701878</v>
      </c>
      <c r="J108" s="45" t="n">
        <f aca="false">-J19</f>
        <v>-5.5542724722327</v>
      </c>
      <c r="K108" s="45" t="n">
        <f aca="false">-K19</f>
        <v>-5.89017146484855</v>
      </c>
      <c r="L108" s="45" t="n">
        <f aca="false">-L19</f>
        <v>-6.2469210915994</v>
      </c>
      <c r="M108" s="1"/>
    </row>
    <row r="109" customFormat="false" ht="15" hidden="false" customHeight="false" outlineLevel="1" collapsed="false">
      <c r="A109" s="1"/>
      <c r="B109" s="34" t="s">
        <v>125</v>
      </c>
      <c r="C109" s="1"/>
      <c r="D109" s="45" t="n">
        <v>-396.522</v>
      </c>
      <c r="E109" s="45" t="n">
        <v>-460.629</v>
      </c>
      <c r="F109" s="45" t="n">
        <v>-581.084</v>
      </c>
      <c r="G109" s="45" t="n">
        <f aca="false">G222</f>
        <v>-500</v>
      </c>
      <c r="H109" s="45" t="n">
        <f aca="false">H222</f>
        <v>-700</v>
      </c>
      <c r="I109" s="45" t="n">
        <f aca="false">I222</f>
        <v>-700</v>
      </c>
      <c r="J109" s="45" t="n">
        <f aca="false">J222</f>
        <v>-700</v>
      </c>
      <c r="K109" s="45" t="n">
        <f aca="false">K222</f>
        <v>-700</v>
      </c>
      <c r="L109" s="45" t="n">
        <f aca="false">L222</f>
        <v>-700</v>
      </c>
      <c r="M109" s="1"/>
    </row>
    <row r="110" customFormat="false" ht="15" hidden="false" customHeight="false" outlineLevel="1" collapsed="false">
      <c r="A110" s="1"/>
      <c r="B110" s="46" t="s">
        <v>239</v>
      </c>
      <c r="C110" s="47"/>
      <c r="D110" s="48" t="n">
        <f aca="false">SUM(D106:D109)</f>
        <v>-553.56</v>
      </c>
      <c r="E110" s="48" t="n">
        <f aca="false">SUM(E106:E109)</f>
        <v>-1109.407</v>
      </c>
      <c r="F110" s="48" t="n">
        <f aca="false">SUM(F106:F109)</f>
        <v>-324.761</v>
      </c>
      <c r="G110" s="48" t="n">
        <f aca="false">SUM(G106:G109)</f>
        <v>-1037.30107481322</v>
      </c>
      <c r="H110" s="48" t="n">
        <f aca="false">SUM(H106:H109)</f>
        <v>-1245.12545639573</v>
      </c>
      <c r="I110" s="48" t="n">
        <f aca="false">SUM(I106:I109)</f>
        <v>-1361.44190166714</v>
      </c>
      <c r="J110" s="48" t="n">
        <f aca="false">SUM(J106:J109)</f>
        <v>-1401.85447391193</v>
      </c>
      <c r="K110" s="48" t="n">
        <f aca="false">SUM(K106:K109)</f>
        <v>-1444.23812544032</v>
      </c>
      <c r="L110" s="48" t="n">
        <f aca="false">SUM(L106:L109)</f>
        <v>-1489.2470478188</v>
      </c>
      <c r="M110" s="1"/>
    </row>
    <row r="111" customFormat="false" ht="15" hidden="false" customHeight="false" outlineLevel="1" collapsed="false">
      <c r="A111" s="1"/>
      <c r="B111" s="34" t="s">
        <v>240</v>
      </c>
      <c r="C111" s="1"/>
      <c r="D111" s="45" t="n">
        <v>0.383</v>
      </c>
      <c r="E111" s="45" t="n">
        <v>-7.698</v>
      </c>
      <c r="F111" s="45" t="n">
        <v>5.448</v>
      </c>
      <c r="G111" s="45" t="n">
        <v>0</v>
      </c>
      <c r="H111" s="45" t="n">
        <v>0</v>
      </c>
      <c r="I111" s="45" t="n">
        <v>0</v>
      </c>
      <c r="J111" s="45" t="n">
        <v>0</v>
      </c>
      <c r="K111" s="45" t="n">
        <v>0</v>
      </c>
      <c r="L111" s="45" t="n">
        <v>0</v>
      </c>
      <c r="M111" s="1"/>
    </row>
    <row r="112" customFormat="false" ht="15" hidden="false" customHeight="false" outlineLevel="1" collapsed="false">
      <c r="A112" s="1"/>
      <c r="B112" s="46" t="s">
        <v>241</v>
      </c>
      <c r="C112" s="47"/>
      <c r="D112" s="48" t="n">
        <f aca="false">D99+D104+D110+D111</f>
        <v>44.7549999999997</v>
      </c>
      <c r="E112" s="48" t="n">
        <f aca="false">E99+E104+E110+E111</f>
        <v>-266.92</v>
      </c>
      <c r="F112" s="48" t="n">
        <f aca="false">F99+F104+F110+F111</f>
        <v>620.233</v>
      </c>
      <c r="G112" s="48" t="n">
        <f aca="false">G99+G104+G110+G111</f>
        <v>318.200348083845</v>
      </c>
      <c r="H112" s="48" t="n">
        <f aca="false">H99+H104+H110+H111</f>
        <v>190.752376052491</v>
      </c>
      <c r="I112" s="48" t="n">
        <f aca="false">I99+I104+I110+I111</f>
        <v>154.966802026367</v>
      </c>
      <c r="J112" s="48" t="n">
        <f aca="false">J99+J104+J110+J111</f>
        <v>202.433425614036</v>
      </c>
      <c r="K112" s="48" t="n">
        <f aca="false">K99+K104+K110+K111</f>
        <v>255.983588004708</v>
      </c>
      <c r="L112" s="48" t="n">
        <f aca="false">L99+L104+L110+L111</f>
        <v>314.70584468911</v>
      </c>
      <c r="M112" s="1"/>
    </row>
    <row r="113" customFormat="false" ht="15" hidden="false" customHeight="false" outlineLevel="1" collapsed="false">
      <c r="A113" s="1"/>
      <c r="B113" s="34" t="s">
        <v>242</v>
      </c>
      <c r="C113" s="1"/>
      <c r="D113" s="45" t="n">
        <v>1344.146</v>
      </c>
      <c r="E113" s="45" t="n">
        <f aca="false">D114</f>
        <v>1388.901</v>
      </c>
      <c r="F113" s="45" t="n">
        <f aca="false">E114</f>
        <v>1121.981</v>
      </c>
      <c r="G113" s="45" t="n">
        <f aca="false">F114</f>
        <v>1742.214</v>
      </c>
      <c r="H113" s="45" t="n">
        <f aca="false">G114</f>
        <v>2060.41434808384</v>
      </c>
      <c r="I113" s="45" t="n">
        <f aca="false">H114</f>
        <v>2251.16672413634</v>
      </c>
      <c r="J113" s="45" t="n">
        <f aca="false">I114</f>
        <v>2406.1335261627</v>
      </c>
      <c r="K113" s="45" t="n">
        <f aca="false">J114</f>
        <v>2608.56695177674</v>
      </c>
      <c r="L113" s="45" t="n">
        <f aca="false">K114</f>
        <v>2864.55053978145</v>
      </c>
      <c r="M113" s="1"/>
    </row>
    <row r="114" customFormat="false" ht="15" hidden="false" customHeight="false" outlineLevel="1" collapsed="false">
      <c r="A114" s="1"/>
      <c r="B114" s="49" t="s">
        <v>243</v>
      </c>
      <c r="C114" s="50"/>
      <c r="D114" s="51" t="n">
        <f aca="false">D113+D112</f>
        <v>1388.901</v>
      </c>
      <c r="E114" s="51" t="n">
        <f aca="false">E113+E112</f>
        <v>1121.981</v>
      </c>
      <c r="F114" s="51" t="n">
        <f aca="false">F113+F112</f>
        <v>1742.214</v>
      </c>
      <c r="G114" s="51" t="n">
        <f aca="false">G113+G112</f>
        <v>2060.41434808384</v>
      </c>
      <c r="H114" s="51" t="n">
        <f aca="false">H113+H112</f>
        <v>2251.16672413634</v>
      </c>
      <c r="I114" s="51" t="n">
        <f aca="false">I113+I112</f>
        <v>2406.1335261627</v>
      </c>
      <c r="J114" s="51" t="n">
        <f aca="false">J113+J112</f>
        <v>2608.56695177674</v>
      </c>
      <c r="K114" s="51" t="n">
        <f aca="false">K113+K112</f>
        <v>2864.55053978145</v>
      </c>
      <c r="L114" s="51" t="n">
        <f aca="false">L113+L112</f>
        <v>3179.25638447055</v>
      </c>
      <c r="M114" s="1"/>
    </row>
    <row r="115" customFormat="false" ht="15" hidden="false" customHeight="false" outlineLevel="1" collapsed="false">
      <c r="A115" s="1"/>
      <c r="B115" s="55" t="s">
        <v>244</v>
      </c>
      <c r="C115" s="1"/>
      <c r="D115" s="56" t="n">
        <f aca="false">ROUND(D114-D67,3)</f>
        <v>0</v>
      </c>
      <c r="E115" s="56" t="n">
        <f aca="false">ROUND(E114-E67,3)</f>
        <v>0</v>
      </c>
      <c r="F115" s="56" t="n">
        <f aca="false">ROUND(F114-F67,3)</f>
        <v>0</v>
      </c>
      <c r="G115" s="56" t="n">
        <f aca="false">ROUND(G114-G67,3)</f>
        <v>0</v>
      </c>
      <c r="H115" s="56" t="n">
        <f aca="false">ROUND(H114-H67,3)</f>
        <v>0</v>
      </c>
      <c r="I115" s="56" t="n">
        <f aca="false">ROUND(I114-I67,3)</f>
        <v>0</v>
      </c>
      <c r="J115" s="56" t="n">
        <f aca="false">ROUND(J114-J67,3)</f>
        <v>0</v>
      </c>
      <c r="K115" s="56" t="n">
        <f aca="false">ROUND(K114-K67,3)</f>
        <v>0</v>
      </c>
      <c r="L115" s="56" t="n">
        <f aca="false">ROUND(L114-L67,3)</f>
        <v>0</v>
      </c>
      <c r="M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customFormat="false" ht="21" hidden="false" customHeight="true" outlineLevel="0" collapsed="false">
      <c r="A117" s="1"/>
      <c r="B117" s="26" t="s">
        <v>20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"/>
    </row>
    <row r="118" customFormat="false" ht="15" hidden="false" customHeight="false" outlineLevel="1" collapsed="false">
      <c r="A118" s="1"/>
      <c r="B118" s="27" t="s">
        <v>49</v>
      </c>
      <c r="C118" s="1"/>
      <c r="D118" s="28"/>
      <c r="E118" s="28"/>
      <c r="F118" s="29" t="s">
        <v>164</v>
      </c>
      <c r="G118" s="28"/>
      <c r="H118" s="28"/>
      <c r="I118" s="28"/>
      <c r="J118" s="28"/>
      <c r="K118" s="28"/>
      <c r="L118" s="29" t="s">
        <v>50</v>
      </c>
      <c r="M118" s="1"/>
    </row>
    <row r="119" customFormat="false" ht="15" hidden="false" customHeight="false" outlineLevel="1" collapsed="false">
      <c r="A119" s="1"/>
      <c r="B119" s="1"/>
      <c r="C119" s="1"/>
      <c r="D119" s="44" t="n">
        <f aca="false">D$5</f>
        <v>2022</v>
      </c>
      <c r="E119" s="44" t="n">
        <f aca="false">E$5</f>
        <v>2023</v>
      </c>
      <c r="F119" s="44" t="n">
        <f aca="false">F$5</f>
        <v>2024</v>
      </c>
      <c r="G119" s="31" t="n">
        <f aca="false">G$5</f>
        <v>2025</v>
      </c>
      <c r="H119" s="31" t="n">
        <f aca="false">H$5</f>
        <v>2026</v>
      </c>
      <c r="I119" s="31" t="n">
        <f aca="false">I$5</f>
        <v>2027</v>
      </c>
      <c r="J119" s="31" t="n">
        <f aca="false">J$5</f>
        <v>2028</v>
      </c>
      <c r="K119" s="31" t="n">
        <f aca="false">K$5</f>
        <v>2029</v>
      </c>
      <c r="L119" s="31" t="n">
        <f aca="false">L$5</f>
        <v>2030</v>
      </c>
      <c r="M119" s="1"/>
    </row>
    <row r="120" customFormat="false" ht="15" hidden="false" customHeight="false" outlineLevel="1" collapsed="false">
      <c r="A120" s="1"/>
      <c r="B120" s="33" t="s">
        <v>245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customFormat="false" ht="15" hidden="false" customHeight="false" outlineLevel="1" collapsed="false">
      <c r="A121" s="1"/>
      <c r="B121" s="34" t="s">
        <v>246</v>
      </c>
      <c r="C121" s="1"/>
      <c r="D121" s="53" t="n">
        <f aca="false">D18/D6</f>
        <v>0.184346845122932</v>
      </c>
      <c r="E121" s="53" t="n">
        <f aca="false">E18/E6</f>
        <v>0.210624162290168</v>
      </c>
      <c r="F121" s="53" t="n">
        <f aca="false">F18/F6</f>
        <v>0.228544088158944</v>
      </c>
      <c r="G121" s="53" t="n">
        <f aca="false">G18/G6</f>
        <v>0.217821221239744</v>
      </c>
      <c r="H121" s="53" t="n">
        <f aca="false">H18/H6</f>
        <v>0.220656955728735</v>
      </c>
      <c r="I121" s="53" t="n">
        <f aca="false">I18/I6</f>
        <v>0.223142224442367</v>
      </c>
      <c r="J121" s="53" t="n">
        <f aca="false">J18/J6</f>
        <v>0.225498055910009</v>
      </c>
      <c r="K121" s="53" t="n">
        <f aca="false">K18/K6</f>
        <v>0.227892518246775</v>
      </c>
      <c r="L121" s="53" t="n">
        <f aca="false">L18/L6</f>
        <v>0.230326896803778</v>
      </c>
      <c r="M121" s="1"/>
    </row>
    <row r="122" customFormat="false" ht="15" hidden="false" customHeight="false" outlineLevel="1" collapsed="false">
      <c r="A122" s="1"/>
      <c r="B122" s="34" t="s">
        <v>247</v>
      </c>
      <c r="C122" s="1"/>
      <c r="D122" s="53"/>
      <c r="E122" s="53" t="n">
        <f aca="false">E18/AVERAGE(D73,E73)</f>
        <v>0.443304368028183</v>
      </c>
      <c r="F122" s="53" t="n">
        <f aca="false">F18/AVERAGE(E73,F73)</f>
        <v>0.461428878143777</v>
      </c>
      <c r="G122" s="53" t="n">
        <f aca="false">G18/AVERAGE(F73,G73)</f>
        <v>0.407528625353147</v>
      </c>
      <c r="H122" s="53" t="n">
        <f aca="false">H18/AVERAGE(G73,H73)</f>
        <v>0.386787131626684</v>
      </c>
      <c r="I122" s="53" t="n">
        <f aca="false">I18/AVERAGE(H73,I73)</f>
        <v>0.375758358544443</v>
      </c>
      <c r="J122" s="53" t="n">
        <f aca="false">J18/AVERAGE(I73,J73)</f>
        <v>0.365631753416907</v>
      </c>
      <c r="K122" s="53" t="n">
        <f aca="false">K18/AVERAGE(J73,K73)</f>
        <v>0.353892110854532</v>
      </c>
      <c r="L122" s="53" t="n">
        <f aca="false">L18/AVERAGE(K73,L73)</f>
        <v>0.341132642229897</v>
      </c>
      <c r="M122" s="1"/>
    </row>
    <row r="123" customFormat="false" ht="15" hidden="false" customHeight="false" outlineLevel="1" collapsed="false">
      <c r="A123" s="1"/>
      <c r="B123" s="34" t="s">
        <v>248</v>
      </c>
      <c r="C123" s="1"/>
      <c r="D123" s="53"/>
      <c r="E123" s="53" t="n">
        <f aca="false">E18/AVERAGE(D69,E69)</f>
        <v>0.158999338375755</v>
      </c>
      <c r="F123" s="53" t="n">
        <f aca="false">F18/AVERAGE(E69,F69)</f>
        <v>0.17390849953882</v>
      </c>
      <c r="G123" s="53" t="n">
        <f aca="false">G18/AVERAGE(F69,G69)</f>
        <v>0.157566464764969</v>
      </c>
      <c r="H123" s="53" t="n">
        <f aca="false">H18/AVERAGE(G69,H69)</f>
        <v>0.158072463424017</v>
      </c>
      <c r="I123" s="53" t="n">
        <f aca="false">I18/AVERAGE(H69,I69)</f>
        <v>0.159907956993135</v>
      </c>
      <c r="J123" s="53" t="n">
        <f aca="false">J18/AVERAGE(I69,J69)</f>
        <v>0.161580652049383</v>
      </c>
      <c r="K123" s="53" t="n">
        <f aca="false">K18/AVERAGE(J69,K69)</f>
        <v>0.162655146991029</v>
      </c>
      <c r="L123" s="53" t="n">
        <f aca="false">L18/AVERAGE(K69,L69)</f>
        <v>0.163171567366498</v>
      </c>
      <c r="M123" s="1"/>
    </row>
    <row r="124" customFormat="false" ht="15" hidden="false" customHeight="false" outlineLevel="1" collapsed="false">
      <c r="A124" s="1"/>
      <c r="B124" s="33" t="s">
        <v>249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customFormat="false" ht="15" hidden="false" customHeight="false" outlineLevel="1" collapsed="false">
      <c r="A125" s="1"/>
      <c r="B125" s="34" t="s">
        <v>250</v>
      </c>
      <c r="C125" s="1"/>
      <c r="D125" s="45" t="n">
        <f aca="false">D67+D66</f>
        <v>1476.202</v>
      </c>
      <c r="E125" s="45" t="n">
        <f aca="false">E67+E66</f>
        <v>1183.111</v>
      </c>
      <c r="F125" s="45" t="n">
        <f aca="false">F67+F66</f>
        <v>1767.22</v>
      </c>
      <c r="G125" s="45" t="n">
        <f aca="false">G67+G66</f>
        <v>2085.42034808384</v>
      </c>
      <c r="H125" s="45" t="n">
        <f aca="false">H67+H66</f>
        <v>2276.17272413633</v>
      </c>
      <c r="I125" s="45" t="n">
        <f aca="false">I67+I66</f>
        <v>2431.1395261627</v>
      </c>
      <c r="J125" s="45" t="n">
        <f aca="false">J67+J66</f>
        <v>2633.57295177674</v>
      </c>
      <c r="K125" s="45" t="n">
        <f aca="false">K67+K66</f>
        <v>2889.55653978145</v>
      </c>
      <c r="L125" s="45" t="n">
        <f aca="false">L67+L66</f>
        <v>3204.26238447055</v>
      </c>
      <c r="M125" s="1"/>
    </row>
    <row r="126" customFormat="false" ht="15" hidden="false" customHeight="false" outlineLevel="1" collapsed="false">
      <c r="A126" s="1"/>
      <c r="B126" s="34" t="s">
        <v>251</v>
      </c>
      <c r="C126" s="1"/>
      <c r="D126" s="45" t="n">
        <f aca="false">D77+D79</f>
        <v>2831.772</v>
      </c>
      <c r="E126" s="45" t="n">
        <f aca="false">E77+E79</f>
        <v>2490.725</v>
      </c>
      <c r="F126" s="45" t="n">
        <f aca="false">F77+F79</f>
        <v>3413.782</v>
      </c>
      <c r="G126" s="45" t="n">
        <f aca="false">G77+G79</f>
        <v>3413.782</v>
      </c>
      <c r="H126" s="45" t="n">
        <f aca="false">H77+H79</f>
        <v>3413.782</v>
      </c>
      <c r="I126" s="45" t="n">
        <f aca="false">I77+I79</f>
        <v>3413.782</v>
      </c>
      <c r="J126" s="45" t="n">
        <f aca="false">J77+J79</f>
        <v>3413.782</v>
      </c>
      <c r="K126" s="45" t="n">
        <f aca="false">K77+K79</f>
        <v>3413.782</v>
      </c>
      <c r="L126" s="45" t="n">
        <f aca="false">L77+L79</f>
        <v>3413.782</v>
      </c>
      <c r="M126" s="1"/>
    </row>
    <row r="127" customFormat="false" ht="15" hidden="false" customHeight="false" outlineLevel="1" collapsed="false">
      <c r="A127" s="1"/>
      <c r="B127" s="46" t="s">
        <v>252</v>
      </c>
      <c r="C127" s="47"/>
      <c r="D127" s="48" t="n">
        <f aca="false">D126-D125</f>
        <v>1355.57</v>
      </c>
      <c r="E127" s="48" t="n">
        <f aca="false">E126-E125</f>
        <v>1307.614</v>
      </c>
      <c r="F127" s="48" t="n">
        <f aca="false">F126-F125</f>
        <v>1646.562</v>
      </c>
      <c r="G127" s="48" t="n">
        <f aca="false">G126-G125</f>
        <v>1328.36165191616</v>
      </c>
      <c r="H127" s="48" t="n">
        <f aca="false">H126-H125</f>
        <v>1137.60927586367</v>
      </c>
      <c r="I127" s="48" t="n">
        <f aca="false">I126-I125</f>
        <v>982.642473837298</v>
      </c>
      <c r="J127" s="48" t="n">
        <f aca="false">J126-J125</f>
        <v>780.209048223263</v>
      </c>
      <c r="K127" s="48" t="n">
        <f aca="false">K126-K125</f>
        <v>524.225460218555</v>
      </c>
      <c r="L127" s="48" t="n">
        <f aca="false">L126-L125</f>
        <v>209.519615529445</v>
      </c>
      <c r="M127" s="1"/>
    </row>
    <row r="128" customFormat="false" ht="15" hidden="false" customHeight="false" outlineLevel="1" collapsed="false">
      <c r="A128" s="1"/>
      <c r="B128" s="46" t="s">
        <v>253</v>
      </c>
      <c r="C128" s="47"/>
      <c r="D128" s="48" t="n">
        <f aca="false">(D69-D125)-(D82-D126)</f>
        <v>3958.057</v>
      </c>
      <c r="E128" s="48" t="n">
        <f aca="false">(E69-E125)-(E82-E126)</f>
        <v>4378.236</v>
      </c>
      <c r="F128" s="48" t="n">
        <f aca="false">(F69-F125)-(F82-F126)</f>
        <v>5189.8</v>
      </c>
      <c r="G128" s="48" t="n">
        <f aca="false">(G69-G125)-(G82-G126)</f>
        <v>5382.34018151091</v>
      </c>
      <c r="H128" s="48" t="n">
        <f aca="false">(H69-H125)-(H82-H126)</f>
        <v>5591.90852825055</v>
      </c>
      <c r="I128" s="48" t="n">
        <f aca="false">(I69-I125)-(I82-I126)</f>
        <v>5821.48829356331</v>
      </c>
      <c r="J128" s="48" t="n">
        <f aca="false">(J69-J125)-(J82-J126)</f>
        <v>6068.62455144824</v>
      </c>
      <c r="K128" s="48" t="n">
        <f aca="false">(K69-K125)-(K82-K126)</f>
        <v>6331.79332628607</v>
      </c>
      <c r="L128" s="48" t="n">
        <f aca="false">(L69-L125)-(L82-L126)</f>
        <v>6610.1474643113</v>
      </c>
      <c r="M128" s="1"/>
    </row>
    <row r="129" customFormat="false" ht="15" hidden="false" customHeight="false" outlineLevel="1" collapsed="false">
      <c r="A129" s="1"/>
      <c r="B129" s="34" t="s">
        <v>254</v>
      </c>
      <c r="C129" s="1"/>
      <c r="D129" s="45" t="n">
        <f aca="false">D128-D127</f>
        <v>2602.487</v>
      </c>
      <c r="E129" s="45" t="n">
        <f aca="false">E128-E127</f>
        <v>3070.622</v>
      </c>
      <c r="F129" s="45" t="n">
        <f aca="false">F128-F127</f>
        <v>3543.238</v>
      </c>
      <c r="G129" s="45" t="n">
        <f aca="false">G128-G127</f>
        <v>4053.97852959475</v>
      </c>
      <c r="H129" s="45" t="n">
        <f aca="false">H128-H127</f>
        <v>4454.29925238689</v>
      </c>
      <c r="I129" s="45" t="n">
        <f aca="false">I128-I127</f>
        <v>4838.84581972601</v>
      </c>
      <c r="J129" s="45" t="n">
        <f aca="false">J128-J127</f>
        <v>5288.41550322498</v>
      </c>
      <c r="K129" s="45" t="n">
        <f aca="false">K128-K127</f>
        <v>5807.56786606752</v>
      </c>
      <c r="L129" s="45" t="n">
        <f aca="false">L128-L127</f>
        <v>6400.62784878185</v>
      </c>
      <c r="M129" s="1"/>
    </row>
    <row r="130" customFormat="false" ht="15" hidden="false" customHeight="false" outlineLevel="1" collapsed="false">
      <c r="A130" s="1"/>
      <c r="B130" s="55" t="s">
        <v>255</v>
      </c>
      <c r="C130" s="1"/>
      <c r="D130" s="56" t="n">
        <f aca="false">ROUND(D129-D73,3)</f>
        <v>0</v>
      </c>
      <c r="E130" s="56" t="n">
        <f aca="false">ROUND(E129-E73,3)</f>
        <v>0</v>
      </c>
      <c r="F130" s="56" t="n">
        <f aca="false">ROUND(F129-F73,3)</f>
        <v>0</v>
      </c>
      <c r="G130" s="56" t="n">
        <f aca="false">ROUND(G129-G73,3)</f>
        <v>0</v>
      </c>
      <c r="H130" s="56" t="n">
        <f aca="false">ROUND(H129-H73,3)</f>
        <v>0</v>
      </c>
      <c r="I130" s="56" t="n">
        <f aca="false">ROUND(I129-I73,3)</f>
        <v>0</v>
      </c>
      <c r="J130" s="56" t="n">
        <f aca="false">ROUND(J129-J73,3)</f>
        <v>0</v>
      </c>
      <c r="K130" s="56" t="n">
        <f aca="false">ROUND(K129-K73,3)</f>
        <v>0</v>
      </c>
      <c r="L130" s="56" t="n">
        <f aca="false">ROUND(L129-L73,3)</f>
        <v>0</v>
      </c>
      <c r="M130" s="1"/>
    </row>
    <row r="131" customFormat="false" ht="15" hidden="false" customHeight="false" outlineLevel="1" collapsed="false">
      <c r="A131" s="1"/>
      <c r="B131" s="33" t="s">
        <v>256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customFormat="false" ht="15" hidden="false" customHeight="false" outlineLevel="1" collapsed="false">
      <c r="A132" s="1"/>
      <c r="B132" s="34" t="s">
        <v>257</v>
      </c>
      <c r="C132" s="1"/>
      <c r="D132" s="45" t="n">
        <f aca="false">D13*(1-D33)</f>
        <v>978.863839088579</v>
      </c>
      <c r="E132" s="45" t="n">
        <f aca="false">E13*(1-E33)</f>
        <v>1269.24011213065</v>
      </c>
      <c r="F132" s="45" t="n">
        <f aca="false">F13*(1-F33)</f>
        <v>1524.93959185021</v>
      </c>
      <c r="G132" s="45" t="n">
        <f aca="false">G13*(1-G33)</f>
        <v>1638.15263800798</v>
      </c>
      <c r="H132" s="45" t="n">
        <f aca="false">H13*(1-H33)</f>
        <v>1730.46600721852</v>
      </c>
      <c r="I132" s="45" t="n">
        <f aca="false">I13*(1-I33)</f>
        <v>1827.95625902008</v>
      </c>
      <c r="J132" s="45" t="n">
        <f aca="false">J13*(1-J33)</f>
        <v>1930.9124785923</v>
      </c>
      <c r="K132" s="45" t="n">
        <f aca="false">K13*(1-K33)</f>
        <v>2039.63987465442</v>
      </c>
      <c r="L132" s="45" t="n">
        <f aca="false">L13*(1-L33)</f>
        <v>2154.46067949663</v>
      </c>
      <c r="M132" s="1"/>
    </row>
    <row r="133" customFormat="false" ht="15" hidden="false" customHeight="false" outlineLevel="1" collapsed="false">
      <c r="A133" s="1"/>
      <c r="B133" s="34" t="s">
        <v>258</v>
      </c>
      <c r="C133" s="1"/>
      <c r="D133" s="45" t="n">
        <f aca="false">-(D14+D15)*(1-D33)</f>
        <v>39.5698390885796</v>
      </c>
      <c r="E133" s="45" t="n">
        <f aca="false">-(E14+E15)*(1-E33)</f>
        <v>11.7831121306528</v>
      </c>
      <c r="F133" s="45" t="n">
        <f aca="false">-(F14+F15)*(1-F33)</f>
        <v>-0.973408149792783</v>
      </c>
      <c r="G133" s="45" t="n">
        <f aca="false">-(G14+G15)*(1-G33)</f>
        <v>90.1110336</v>
      </c>
      <c r="H133" s="45" t="n">
        <f aca="false">-(H14+H15)*(1-H33)</f>
        <v>85.0198280306585</v>
      </c>
      <c r="I133" s="45" t="n">
        <f aca="false">-(I14+I15)*(1-I33)</f>
        <v>81.9677900138186</v>
      </c>
      <c r="J133" s="45" t="n">
        <f aca="false">-(J14+J15)*(1-J33)</f>
        <v>79.4883211813968</v>
      </c>
      <c r="K133" s="45" t="n">
        <f aca="false">-(K14+K15)*(1-K33)</f>
        <v>76.2493863715722</v>
      </c>
      <c r="L133" s="45" t="n">
        <f aca="false">-(L14+L15)*(1-L33)</f>
        <v>72.1536489634969</v>
      </c>
      <c r="M133" s="1"/>
    </row>
    <row r="134" customFormat="false" ht="15" hidden="false" customHeight="false" outlineLevel="1" collapsed="false">
      <c r="A134" s="1"/>
      <c r="B134" s="34" t="s">
        <v>259</v>
      </c>
      <c r="C134" s="1"/>
      <c r="D134" s="53"/>
      <c r="E134" s="53" t="n">
        <f aca="false">E132/AVERAGE(D128,E128)</f>
        <v>0.30450947732539</v>
      </c>
      <c r="F134" s="53" t="n">
        <f aca="false">F132/AVERAGE(E128,F128)</f>
        <v>0.318757076551595</v>
      </c>
      <c r="G134" s="53" t="n">
        <f aca="false">G132/AVERAGE(F128,G128)</f>
        <v>0.309899908605612</v>
      </c>
      <c r="H134" s="53" t="n">
        <f aca="false">H132/AVERAGE(G128,H128)</f>
        <v>0.315368469037756</v>
      </c>
      <c r="I134" s="53" t="n">
        <f aca="false">I132/AVERAGE(H128,I128)</f>
        <v>0.320317656094529</v>
      </c>
      <c r="J134" s="53" t="n">
        <f aca="false">J132/AVERAGE(I128,J128)</f>
        <v>0.324792960968811</v>
      </c>
      <c r="K134" s="53" t="n">
        <f aca="false">K132/AVERAGE(J128,K128)</f>
        <v>0.328963087335422</v>
      </c>
      <c r="L134" s="53" t="n">
        <f aca="false">L132/AVERAGE(K128,L128)</f>
        <v>0.332942441069101</v>
      </c>
      <c r="M134" s="1"/>
    </row>
    <row r="135" customFormat="false" ht="15" hidden="false" customHeight="false" outlineLevel="1" collapsed="false">
      <c r="A135" s="1"/>
      <c r="B135" s="34" t="s">
        <v>260</v>
      </c>
      <c r="C135" s="1"/>
      <c r="D135" s="53"/>
      <c r="E135" s="53" t="n">
        <f aca="false">E133/AVERAGE(D127,E127)</f>
        <v>0.00884889074930819</v>
      </c>
      <c r="F135" s="53" t="n">
        <f aca="false">F133/AVERAGE(E127,F127)</f>
        <v>-0.000659004845881073</v>
      </c>
      <c r="G135" s="53" t="n">
        <f aca="false">G133/AVERAGE(F127,G127)</f>
        <v>0.0605804008058891</v>
      </c>
      <c r="H135" s="53" t="n">
        <f aca="false">H133/AVERAGE(G127,H127)</f>
        <v>0.0689544447364626</v>
      </c>
      <c r="I135" s="53" t="n">
        <f aca="false">I133/AVERAGE(H127,I127)</f>
        <v>0.0773189221755193</v>
      </c>
      <c r="J135" s="53" t="n">
        <f aca="false">J133/AVERAGE(I127,J127)</f>
        <v>0.0901815271299588</v>
      </c>
      <c r="K135" s="53" t="n">
        <f aca="false">K133/AVERAGE(J127,K127)</f>
        <v>0.116907956479401</v>
      </c>
      <c r="L135" s="53" t="n">
        <f aca="false">L133/AVERAGE(K127,L127)</f>
        <v>0.19667225402485</v>
      </c>
      <c r="M135" s="1"/>
    </row>
    <row r="136" customFormat="false" ht="15" hidden="false" customHeight="false" outlineLevel="1" collapsed="false">
      <c r="A136" s="1"/>
      <c r="B136" s="34" t="s">
        <v>261</v>
      </c>
      <c r="C136" s="1"/>
      <c r="D136" s="58"/>
      <c r="E136" s="58" t="n">
        <f aca="false">AVERAGE(D127,E127)/AVERAGE(D73,E73)</f>
        <v>0.469439949064966</v>
      </c>
      <c r="F136" s="58" t="n">
        <f aca="false">AVERAGE(E127,F127)/AVERAGE(E73,F73)</f>
        <v>0.446664428941647</v>
      </c>
      <c r="G136" s="58" t="n">
        <f aca="false">AVERAGE(F127,G127)/AVERAGE(F73,G73)</f>
        <v>0.391580737540838</v>
      </c>
      <c r="H136" s="58" t="n">
        <f aca="false">AVERAGE(G127,H127)/AVERAGE(G73,H73)</f>
        <v>0.289831971988752</v>
      </c>
      <c r="I136" s="58" t="n">
        <f aca="false">AVERAGE(H127,I127)/AVERAGE(H73,I73)</f>
        <v>0.228152227609517</v>
      </c>
      <c r="J136" s="58" t="n">
        <f aca="false">AVERAGE(I127,J127)/AVERAGE(I73,J73)</f>
        <v>0.174069915433651</v>
      </c>
      <c r="K136" s="58" t="n">
        <f aca="false">AVERAGE(J127,K127)/AVERAGE(J73,K73)</f>
        <v>0.11755916217861</v>
      </c>
      <c r="L136" s="58" t="n">
        <f aca="false">AVERAGE(K127,L127)/AVERAGE(K73,L73)</f>
        <v>0.0601026632342987</v>
      </c>
      <c r="M136" s="1"/>
    </row>
    <row r="137" customFormat="false" ht="15" hidden="false" customHeight="false" outlineLevel="1" collapsed="false">
      <c r="A137" s="1"/>
      <c r="B137" s="34" t="s">
        <v>262</v>
      </c>
      <c r="C137" s="1"/>
      <c r="D137" s="53"/>
      <c r="E137" s="53" t="n">
        <f aca="false">E134-E135</f>
        <v>0.295660586576082</v>
      </c>
      <c r="F137" s="53" t="n">
        <f aca="false">F134-F135</f>
        <v>0.319416081397476</v>
      </c>
      <c r="G137" s="53" t="n">
        <f aca="false">G134-G135</f>
        <v>0.249319507799723</v>
      </c>
      <c r="H137" s="53" t="n">
        <f aca="false">H134-H135</f>
        <v>0.246414024301293</v>
      </c>
      <c r="I137" s="53" t="n">
        <f aca="false">I134-I135</f>
        <v>0.24299873391901</v>
      </c>
      <c r="J137" s="53" t="n">
        <f aca="false">J134-J135</f>
        <v>0.234611433838852</v>
      </c>
      <c r="K137" s="53" t="n">
        <f aca="false">K134-K135</f>
        <v>0.212055130856022</v>
      </c>
      <c r="L137" s="53" t="n">
        <f aca="false">L134-L135</f>
        <v>0.136270187044251</v>
      </c>
      <c r="M137" s="1"/>
    </row>
    <row r="138" customFormat="false" ht="15" hidden="false" customHeight="false" outlineLevel="1" collapsed="false">
      <c r="A138" s="1"/>
      <c r="B138" s="46" t="s">
        <v>263</v>
      </c>
      <c r="C138" s="47"/>
      <c r="D138" s="59"/>
      <c r="E138" s="59" t="n">
        <f aca="false">E134+E136*E137</f>
        <v>0.443304368028184</v>
      </c>
      <c r="F138" s="59" t="n">
        <f aca="false">F134+F136*F137</f>
        <v>0.461428878143777</v>
      </c>
      <c r="G138" s="59" t="n">
        <f aca="false">G134+G136*G137</f>
        <v>0.407528625353147</v>
      </c>
      <c r="H138" s="59" t="n">
        <f aca="false">H134+H136*H137</f>
        <v>0.386787131626684</v>
      </c>
      <c r="I138" s="59" t="n">
        <f aca="false">I134+I136*I137</f>
        <v>0.375758358544443</v>
      </c>
      <c r="J138" s="59" t="n">
        <f aca="false">J134+J136*J137</f>
        <v>0.365631753416907</v>
      </c>
      <c r="K138" s="59" t="n">
        <f aca="false">K134+K136*K137</f>
        <v>0.353892110854532</v>
      </c>
      <c r="L138" s="59" t="n">
        <f aca="false">L134+L136*L137</f>
        <v>0.341132642229897</v>
      </c>
      <c r="M138" s="1"/>
    </row>
    <row r="139" customFormat="false" ht="15" hidden="false" customHeight="false" outlineLevel="1" collapsed="false">
      <c r="A139" s="1"/>
      <c r="B139" s="55" t="s">
        <v>264</v>
      </c>
      <c r="C139" s="1"/>
      <c r="D139" s="60"/>
      <c r="E139" s="60" t="n">
        <f aca="false">ROUND(E138-E122,6)</f>
        <v>0</v>
      </c>
      <c r="F139" s="60" t="n">
        <f aca="false">ROUND(F138-F122,6)</f>
        <v>0</v>
      </c>
      <c r="G139" s="60" t="n">
        <f aca="false">ROUND(G138-G122,6)</f>
        <v>0</v>
      </c>
      <c r="H139" s="60" t="n">
        <f aca="false">ROUND(H138-H122,6)</f>
        <v>0</v>
      </c>
      <c r="I139" s="60" t="n">
        <f aca="false">ROUND(I138-I122,6)</f>
        <v>0</v>
      </c>
      <c r="J139" s="60" t="n">
        <f aca="false">ROUND(J138-J122,6)</f>
        <v>0</v>
      </c>
      <c r="K139" s="60" t="n">
        <f aca="false">ROUND(K138-K122,6)</f>
        <v>0</v>
      </c>
      <c r="L139" s="60" t="n">
        <f aca="false">ROUND(L138-L122,6)</f>
        <v>0</v>
      </c>
      <c r="M139" s="1"/>
    </row>
    <row r="140" customFormat="false" ht="15" hidden="false" customHeight="false" outlineLevel="1" collapsed="false">
      <c r="A140" s="1"/>
      <c r="B140" s="33" t="s">
        <v>265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customFormat="false" ht="15" hidden="false" customHeight="false" outlineLevel="1" collapsed="false">
      <c r="A141" s="1"/>
      <c r="B141" s="34" t="s">
        <v>266</v>
      </c>
      <c r="C141" s="1"/>
      <c r="D141" s="54" t="n">
        <f aca="false">D62/D6*365</f>
        <v>16.6490443852259</v>
      </c>
      <c r="E141" s="54" t="n">
        <f aca="false">E62/E6*365</f>
        <v>15.98012845917</v>
      </c>
      <c r="F141" s="54" t="n">
        <f aca="false">F62/F6*365</f>
        <v>19.0887490586622</v>
      </c>
      <c r="G141" s="54" t="n">
        <f aca="false">G62/G6*365</f>
        <v>19</v>
      </c>
      <c r="H141" s="54" t="n">
        <f aca="false">H62/H6*365</f>
        <v>19</v>
      </c>
      <c r="I141" s="54" t="n">
        <f aca="false">I62/I6*365</f>
        <v>19</v>
      </c>
      <c r="J141" s="54" t="n">
        <f aca="false">J62/J6*365</f>
        <v>19</v>
      </c>
      <c r="K141" s="54" t="n">
        <f aca="false">K62/K6*365</f>
        <v>19</v>
      </c>
      <c r="L141" s="54" t="n">
        <f aca="false">L62/L6*365</f>
        <v>19</v>
      </c>
      <c r="M141" s="1"/>
    </row>
    <row r="142" customFormat="false" ht="15" hidden="false" customHeight="false" outlineLevel="1" collapsed="false">
      <c r="A142" s="1"/>
      <c r="B142" s="34" t="s">
        <v>267</v>
      </c>
      <c r="C142" s="1"/>
      <c r="D142" s="54" t="n">
        <f aca="false">-D61/D7*365</f>
        <v>92.9618721056961</v>
      </c>
      <c r="E142" s="54" t="n">
        <f aca="false">-E61/E7*365</f>
        <v>115.561356490937</v>
      </c>
      <c r="F142" s="54" t="n">
        <f aca="false">-F61/F7*365</f>
        <v>119.295040701514</v>
      </c>
      <c r="G142" s="54" t="n">
        <f aca="false">-G61/G7*365</f>
        <v>119</v>
      </c>
      <c r="H142" s="54" t="n">
        <f aca="false">-H61/H7*365</f>
        <v>119</v>
      </c>
      <c r="I142" s="54" t="n">
        <f aca="false">-I61/I7*365</f>
        <v>119</v>
      </c>
      <c r="J142" s="54" t="n">
        <f aca="false">-J61/J7*365</f>
        <v>119</v>
      </c>
      <c r="K142" s="54" t="n">
        <f aca="false">-K61/K7*365</f>
        <v>119</v>
      </c>
      <c r="L142" s="54" t="n">
        <f aca="false">-L61/L7*365</f>
        <v>119</v>
      </c>
      <c r="M142" s="1"/>
    </row>
    <row r="143" customFormat="false" ht="15" hidden="false" customHeight="false" outlineLevel="1" collapsed="false">
      <c r="A143" s="1"/>
      <c r="B143" s="34" t="s">
        <v>268</v>
      </c>
      <c r="C143" s="1"/>
      <c r="D143" s="54" t="n">
        <f aca="false">-D80/D7*365</f>
        <v>124.420221876341</v>
      </c>
      <c r="E143" s="54" t="n">
        <f aca="false">-E80/E7*365</f>
        <v>113.373946927728</v>
      </c>
      <c r="F143" s="54" t="n">
        <f aca="false">-F80/F7*365</f>
        <v>103.669189781116</v>
      </c>
      <c r="G143" s="54" t="n">
        <f aca="false">-G80/G7*365</f>
        <v>104</v>
      </c>
      <c r="H143" s="54" t="n">
        <f aca="false">-H80/H7*365</f>
        <v>104</v>
      </c>
      <c r="I143" s="54" t="n">
        <f aca="false">-I80/I7*365</f>
        <v>104</v>
      </c>
      <c r="J143" s="54" t="n">
        <f aca="false">-J80/J7*365</f>
        <v>104</v>
      </c>
      <c r="K143" s="54" t="n">
        <f aca="false">-K80/K7*365</f>
        <v>104</v>
      </c>
      <c r="L143" s="54" t="n">
        <f aca="false">-L80/L7*365</f>
        <v>104</v>
      </c>
      <c r="M143" s="1"/>
    </row>
    <row r="144" customFormat="false" ht="15" hidden="false" customHeight="false" outlineLevel="1" collapsed="false">
      <c r="A144" s="1"/>
      <c r="B144" s="46" t="s">
        <v>269</v>
      </c>
      <c r="C144" s="47"/>
      <c r="D144" s="61" t="n">
        <f aca="false">D141+D142-D143</f>
        <v>-14.8093053854193</v>
      </c>
      <c r="E144" s="61" t="n">
        <f aca="false">E141+E142-E143</f>
        <v>18.1675380223797</v>
      </c>
      <c r="F144" s="61" t="n">
        <f aca="false">F141+F142-F143</f>
        <v>34.7145999790603</v>
      </c>
      <c r="G144" s="61" t="n">
        <f aca="false">G141+G142-G143</f>
        <v>34</v>
      </c>
      <c r="H144" s="61" t="n">
        <f aca="false">H141+H142-H143</f>
        <v>34</v>
      </c>
      <c r="I144" s="61" t="n">
        <f aca="false">I141+I142-I143</f>
        <v>34</v>
      </c>
      <c r="J144" s="61" t="n">
        <f aca="false">J141+J142-J143</f>
        <v>34</v>
      </c>
      <c r="K144" s="61" t="n">
        <f aca="false">K141+K142-K143</f>
        <v>34</v>
      </c>
      <c r="L144" s="61" t="n">
        <f aca="false">L141+L142-L143</f>
        <v>34</v>
      </c>
      <c r="M144" s="1"/>
    </row>
    <row r="145" customFormat="false" ht="15" hidden="false" customHeight="false" outlineLevel="1" collapsed="false">
      <c r="A145" s="1"/>
      <c r="B145" s="34" t="s">
        <v>270</v>
      </c>
      <c r="C145" s="1"/>
      <c r="D145" s="58"/>
      <c r="E145" s="58" t="n">
        <f aca="false">E6/AVERAGE(D69,E69)</f>
        <v>0.754896003606216</v>
      </c>
      <c r="F145" s="58" t="n">
        <f aca="false">F6/AVERAGE(E69,F69)</f>
        <v>0.760940704875608</v>
      </c>
      <c r="G145" s="58" t="n">
        <f aca="false">G6/AVERAGE(F69,G69)</f>
        <v>0.723375178360347</v>
      </c>
      <c r="H145" s="58" t="n">
        <f aca="false">H6/AVERAGE(G69,H69)</f>
        <v>0.716371994265813</v>
      </c>
      <c r="I145" s="58" t="n">
        <f aca="false">I6/AVERAGE(H69,I69)</f>
        <v>0.71661899666343</v>
      </c>
      <c r="J145" s="58" t="n">
        <f aca="false">J6/AVERAGE(I69,J69)</f>
        <v>0.716550089078668</v>
      </c>
      <c r="K145" s="58" t="n">
        <f aca="false">K6/AVERAGE(J69,K69)</f>
        <v>0.713736230756364</v>
      </c>
      <c r="L145" s="58" t="n">
        <f aca="false">L6/AVERAGE(K69,L69)</f>
        <v>0.70843470576304</v>
      </c>
      <c r="M145" s="1"/>
    </row>
    <row r="146" customFormat="false" ht="15" hidden="false" customHeight="false" outlineLevel="1" collapsed="false">
      <c r="A146" s="1"/>
      <c r="B146" s="33" t="s">
        <v>271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customFormat="false" ht="15" hidden="false" customHeight="false" outlineLevel="1" collapsed="false">
      <c r="A147" s="1"/>
      <c r="B147" s="34" t="s">
        <v>272</v>
      </c>
      <c r="C147" s="1"/>
      <c r="D147" s="45" t="n">
        <f aca="false">D80+D81+D78+D79</f>
        <v>1933.549</v>
      </c>
      <c r="E147" s="45" t="n">
        <f aca="false">E80+E81+E78+E79</f>
        <v>2056.337</v>
      </c>
      <c r="F147" s="45" t="n">
        <f aca="false">F80+F81+F78+F79</f>
        <v>2151.645</v>
      </c>
      <c r="G147" s="45" t="n">
        <f aca="false">G80+G81+G78+G79</f>
        <v>2281.88859493048</v>
      </c>
      <c r="H147" s="45" t="n">
        <f aca="false">H80+H81+H78+H79</f>
        <v>2385.13306744416</v>
      </c>
      <c r="I147" s="45" t="n">
        <f aca="false">I80+I81+I78+I79</f>
        <v>2493.30890256353</v>
      </c>
      <c r="J147" s="45" t="n">
        <f aca="false">J80+J81+J78+J79</f>
        <v>2606.65392422737</v>
      </c>
      <c r="K147" s="45" t="n">
        <f aca="false">K80+K81+K78+K79</f>
        <v>2725.41753606697</v>
      </c>
      <c r="L147" s="45" t="n">
        <f aca="false">L80+L81+L78+L79</f>
        <v>2849.86129044453</v>
      </c>
      <c r="M147" s="1"/>
    </row>
    <row r="148" customFormat="false" ht="15" hidden="false" customHeight="false" outlineLevel="1" collapsed="false">
      <c r="A148" s="1"/>
      <c r="B148" s="34" t="s">
        <v>273</v>
      </c>
      <c r="C148" s="1"/>
      <c r="D148" s="58" t="n">
        <f aca="false">D68/D147</f>
        <v>2.04417472740541</v>
      </c>
      <c r="E148" s="58" t="n">
        <f aca="false">E68/E147</f>
        <v>1.93840163358438</v>
      </c>
      <c r="F148" s="58" t="n">
        <f aca="false">F68/F147</f>
        <v>2.3330535474021</v>
      </c>
      <c r="G148" s="58" t="n">
        <f aca="false">G68/G147</f>
        <v>2.42654444059395</v>
      </c>
      <c r="H148" s="58" t="n">
        <f aca="false">H68/H147</f>
        <v>2.47040474977643</v>
      </c>
      <c r="I148" s="58" t="n">
        <f aca="false">I68/I147</f>
        <v>2.49449362219961</v>
      </c>
      <c r="J148" s="58" t="n">
        <f aca="false">J68/J147</f>
        <v>2.53299505133408</v>
      </c>
      <c r="K148" s="58" t="n">
        <f aca="false">K68/K147</f>
        <v>2.58603665781493</v>
      </c>
      <c r="L148" s="58" t="n">
        <f aca="false">L68/L147</f>
        <v>2.65321926877795</v>
      </c>
      <c r="M148" s="1"/>
    </row>
    <row r="149" customFormat="false" ht="15" hidden="false" customHeight="false" outlineLevel="1" collapsed="false">
      <c r="A149" s="1"/>
      <c r="B149" s="34" t="s">
        <v>274</v>
      </c>
      <c r="C149" s="1"/>
      <c r="D149" s="58" t="n">
        <f aca="false">(D68-D61)/D147</f>
        <v>1.69525054705104</v>
      </c>
      <c r="E149" s="58" t="n">
        <f aca="false">(E68-E61)/E147</f>
        <v>1.47713774541819</v>
      </c>
      <c r="F149" s="58" t="n">
        <f aca="false">(F68-F61)/F147</f>
        <v>1.82730376061107</v>
      </c>
      <c r="G149" s="58" t="n">
        <f aca="false">(G68-G61)/G147</f>
        <v>1.92391572345538</v>
      </c>
      <c r="H149" s="58" t="n">
        <f aca="false">(H68-H61)/H147</f>
        <v>1.96788346427025</v>
      </c>
      <c r="I149" s="58" t="n">
        <f aca="false">(I68-I61)/I147</f>
        <v>1.99212892282652</v>
      </c>
      <c r="J149" s="58" t="n">
        <f aca="false">(J68-J61)/J147</f>
        <v>2.03083437010788</v>
      </c>
      <c r="K149" s="58" t="n">
        <f aca="false">(K68-K61)/K147</f>
        <v>2.08412575770589</v>
      </c>
      <c r="L149" s="58" t="n">
        <f aca="false">(L68-L61)/L147</f>
        <v>2.15160229679839</v>
      </c>
      <c r="M149" s="1"/>
    </row>
    <row r="150" customFormat="false" ht="15" hidden="false" customHeight="false" outlineLevel="1" collapsed="false">
      <c r="A150" s="1"/>
      <c r="B150" s="33" t="s">
        <v>275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customFormat="false" ht="15" hidden="false" customHeight="false" outlineLevel="1" collapsed="false">
      <c r="A151" s="1"/>
      <c r="B151" s="34" t="s">
        <v>276</v>
      </c>
      <c r="C151" s="1"/>
      <c r="D151" s="58" t="n">
        <f aca="false">D127/D23</f>
        <v>0.764301223439014</v>
      </c>
      <c r="E151" s="58" t="n">
        <f aca="false">E127/E23</f>
        <v>0.573596926578099</v>
      </c>
      <c r="F151" s="58" t="n">
        <f aca="false">F127/F23</f>
        <v>0.644566041162986</v>
      </c>
      <c r="G151" s="58" t="n">
        <f aca="false">G127/G23</f>
        <v>0.487096354556381</v>
      </c>
      <c r="H151" s="58" t="n">
        <f aca="false">H127/H23</f>
        <v>0.397575994955965</v>
      </c>
      <c r="I151" s="58" t="n">
        <f aca="false">I127/I23</f>
        <v>0.326681501527225</v>
      </c>
      <c r="J151" s="58" t="n">
        <f aca="false">J127/J23</f>
        <v>0.246429239391095</v>
      </c>
      <c r="K151" s="58" t="n">
        <f aca="false">K127/K23</f>
        <v>0.157177766132185</v>
      </c>
      <c r="L151" s="58" t="n">
        <f aca="false">L127/L23</f>
        <v>0.0596014739106149</v>
      </c>
      <c r="M151" s="1"/>
    </row>
    <row r="152" customFormat="false" ht="15" hidden="false" customHeight="false" outlineLevel="1" collapsed="false">
      <c r="A152" s="1"/>
      <c r="B152" s="34" t="s">
        <v>277</v>
      </c>
      <c r="C152" s="1"/>
      <c r="D152" s="58" t="n">
        <f aca="false">D126/D73</f>
        <v>1.08810226525627</v>
      </c>
      <c r="E152" s="58" t="n">
        <f aca="false">E126/E73</f>
        <v>0.811146731834788</v>
      </c>
      <c r="F152" s="58" t="n">
        <f aca="false">F126/F73</f>
        <v>0.96346392762778</v>
      </c>
      <c r="G152" s="58" t="n">
        <f aca="false">G126/G73</f>
        <v>0.842081914119376</v>
      </c>
      <c r="H152" s="58" t="n">
        <f aca="false">H126/H73</f>
        <v>0.766401583407466</v>
      </c>
      <c r="I152" s="58" t="n">
        <f aca="false">I126/I73</f>
        <v>0.705495096802506</v>
      </c>
      <c r="J152" s="58" t="n">
        <f aca="false">J126/J73</f>
        <v>0.645520760976177</v>
      </c>
      <c r="K152" s="58" t="n">
        <f aca="false">K126/K73</f>
        <v>0.587816118335192</v>
      </c>
      <c r="L152" s="58" t="n">
        <f aca="false">L126/L73</f>
        <v>0.533351115023771</v>
      </c>
      <c r="M152" s="1"/>
    </row>
    <row r="153" customFormat="false" ht="15" hidden="false" customHeight="false" outlineLevel="1" collapsed="false">
      <c r="A153" s="1"/>
      <c r="B153" s="34" t="s">
        <v>278</v>
      </c>
      <c r="C153" s="1"/>
      <c r="D153" s="53" t="n">
        <f aca="false">D73/D69</f>
        <v>0.335120566100979</v>
      </c>
      <c r="E153" s="53" t="n">
        <f aca="false">E73/E69</f>
        <v>0.381381568618879</v>
      </c>
      <c r="F153" s="53" t="n">
        <f aca="false">F73/F69</f>
        <v>0.373084503491891</v>
      </c>
      <c r="G153" s="53" t="n">
        <f aca="false">G73/G69</f>
        <v>0.399318895295409</v>
      </c>
      <c r="H153" s="53" t="n">
        <f aca="false">H73/H69</f>
        <v>0.417591154944214</v>
      </c>
      <c r="I153" s="53" t="n">
        <f aca="false">I73/I69</f>
        <v>0.433170422369808</v>
      </c>
      <c r="J153" s="53" t="n">
        <f aca="false">J73/J69</f>
        <v>0.450244903186705</v>
      </c>
      <c r="K153" s="53" t="n">
        <f aca="false">K73/K69</f>
        <v>0.46849904912591</v>
      </c>
      <c r="L153" s="53" t="n">
        <f aca="false">L73/L69</f>
        <v>0.487599991260865</v>
      </c>
      <c r="M153" s="1"/>
    </row>
    <row r="154" customFormat="false" ht="15" hidden="false" customHeight="false" outlineLevel="1" collapsed="false">
      <c r="A154" s="1"/>
      <c r="B154" s="34" t="s">
        <v>279</v>
      </c>
      <c r="C154" s="1"/>
      <c r="D154" s="62" t="n">
        <f aca="false">-D13/D15</f>
        <v>9.19566357492845</v>
      </c>
      <c r="E154" s="62" t="n">
        <f aca="false">-E13/E15</f>
        <v>10.9775679748055</v>
      </c>
      <c r="F154" s="62" t="n">
        <f aca="false">-F13/F15</f>
        <v>12.9391068919428</v>
      </c>
      <c r="G154" s="62" t="n">
        <f aca="false">-G13/G15</f>
        <v>13.8842429150782</v>
      </c>
      <c r="H154" s="62" t="n">
        <f aca="false">-H13/H15</f>
        <v>14.666649397045</v>
      </c>
      <c r="I154" s="62" t="n">
        <f aca="false">-I13/I15</f>
        <v>15.4929328009597</v>
      </c>
      <c r="J154" s="62" t="n">
        <f aca="false">-J13/J15</f>
        <v>16.3655432824207</v>
      </c>
      <c r="K154" s="62" t="n">
        <f aca="false">-K13/K15</f>
        <v>17.2870676528763</v>
      </c>
      <c r="L154" s="62" t="n">
        <f aca="false">-L13/L15</f>
        <v>18.2602370078838</v>
      </c>
      <c r="M154" s="1"/>
    </row>
    <row r="155" customFormat="false" ht="15" hidden="false" customHeight="false" outlineLevel="1" collapsed="false">
      <c r="A155" s="1"/>
      <c r="B155" s="33" t="s">
        <v>280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customFormat="false" ht="15" hidden="false" customHeight="false" outlineLevel="1" collapsed="false">
      <c r="A156" s="1"/>
      <c r="B156" s="34" t="s">
        <v>229</v>
      </c>
      <c r="C156" s="1"/>
      <c r="D156" s="45" t="n">
        <f aca="false">D99</f>
        <v>1403.34</v>
      </c>
      <c r="E156" s="45" t="n">
        <f aca="false">E99</f>
        <v>1716.637</v>
      </c>
      <c r="F156" s="45" t="n">
        <f aca="false">F99</f>
        <v>1926.656</v>
      </c>
      <c r="G156" s="45" t="n">
        <f aca="false">G99</f>
        <v>2172.79912921639</v>
      </c>
      <c r="H156" s="45" t="n">
        <f aca="false">H99</f>
        <v>2293.43661631556</v>
      </c>
      <c r="I156" s="45" t="n">
        <f aca="false">I99</f>
        <v>2416.23245707542</v>
      </c>
      <c r="J156" s="45" t="n">
        <f aca="false">J99</f>
        <v>2548.48130839164</v>
      </c>
      <c r="K156" s="45" t="n">
        <f aca="false">K99</f>
        <v>2690.99538117917</v>
      </c>
      <c r="L156" s="45" t="n">
        <f aca="false">L99</f>
        <v>2843.62872643936</v>
      </c>
      <c r="M156" s="1"/>
    </row>
    <row r="157" customFormat="false" ht="15" hidden="false" customHeight="false" outlineLevel="1" collapsed="false">
      <c r="A157" s="1"/>
      <c r="B157" s="34" t="s">
        <v>281</v>
      </c>
      <c r="C157" s="1"/>
      <c r="D157" s="45" t="n">
        <f aca="false">D101+D102</f>
        <v>-804.619</v>
      </c>
      <c r="E157" s="45" t="n">
        <f aca="false">E101+E102</f>
        <v>-868.91</v>
      </c>
      <c r="F157" s="45" t="n">
        <f aca="false">F101+F102</f>
        <v>-989.151</v>
      </c>
      <c r="G157" s="45" t="n">
        <f aca="false">G101+G102</f>
        <v>-817.297706319326</v>
      </c>
      <c r="H157" s="45" t="n">
        <f aca="false">H101+H102</f>
        <v>-857.558783867343</v>
      </c>
      <c r="I157" s="45" t="n">
        <f aca="false">I101+I102</f>
        <v>-899.823753381913</v>
      </c>
      <c r="J157" s="45" t="n">
        <f aca="false">J101+J102</f>
        <v>-944.193408865674</v>
      </c>
      <c r="K157" s="45" t="n">
        <f aca="false">K101+K102</f>
        <v>-990.773667734147</v>
      </c>
      <c r="L157" s="45" t="n">
        <f aca="false">L101+L102</f>
        <v>-1039.67583393145</v>
      </c>
      <c r="M157" s="1"/>
    </row>
    <row r="158" customFormat="false" ht="15" hidden="false" customHeight="false" outlineLevel="1" collapsed="false">
      <c r="A158" s="1"/>
      <c r="B158" s="46" t="s">
        <v>282</v>
      </c>
      <c r="C158" s="47"/>
      <c r="D158" s="48" t="n">
        <f aca="false">D156+D157</f>
        <v>598.721</v>
      </c>
      <c r="E158" s="48" t="n">
        <f aca="false">E156+E157</f>
        <v>847.727</v>
      </c>
      <c r="F158" s="48" t="n">
        <f aca="false">F156+F157</f>
        <v>937.504999999999</v>
      </c>
      <c r="G158" s="48" t="n">
        <f aca="false">G156+G157</f>
        <v>1355.50142289707</v>
      </c>
      <c r="H158" s="48" t="n">
        <f aca="false">H156+H157</f>
        <v>1435.87783244822</v>
      </c>
      <c r="I158" s="48" t="n">
        <f aca="false">I156+I157</f>
        <v>1516.4087036935</v>
      </c>
      <c r="J158" s="48" t="n">
        <f aca="false">J156+J157</f>
        <v>1604.28789952597</v>
      </c>
      <c r="K158" s="48" t="n">
        <f aca="false">K156+K157</f>
        <v>1700.22171344502</v>
      </c>
      <c r="L158" s="48" t="n">
        <f aca="false">L156+L157</f>
        <v>1803.95289250791</v>
      </c>
      <c r="M158" s="1"/>
    </row>
    <row r="159" customFormat="false" ht="15" hidden="false" customHeight="false" outlineLevel="1" collapsed="false">
      <c r="A159" s="1"/>
      <c r="B159" s="34" t="s">
        <v>283</v>
      </c>
      <c r="C159" s="1"/>
      <c r="D159" s="53" t="n">
        <f aca="false">D158/D6</f>
        <v>0.11750562386095</v>
      </c>
      <c r="E159" s="53" t="n">
        <f aca="false">E158/E6</f>
        <v>0.141994349886921</v>
      </c>
      <c r="F159" s="53" t="n">
        <f aca="false">F158/F6</f>
        <v>0.140415099268078</v>
      </c>
      <c r="G159" s="53" t="n">
        <f aca="false">G158/G6</f>
        <v>0.190729354099347</v>
      </c>
      <c r="H159" s="53" t="n">
        <f aca="false">H158/H6</f>
        <v>0.192553506346089</v>
      </c>
      <c r="I159" s="53" t="n">
        <f aca="false">I158/I6</f>
        <v>0.19380128638451</v>
      </c>
      <c r="J159" s="53" t="n">
        <f aca="false">J158/J6</f>
        <v>0.195397581378089</v>
      </c>
      <c r="K159" s="53" t="n">
        <f aca="false">K158/K6</f>
        <v>0.197346279391271</v>
      </c>
      <c r="L159" s="53" t="n">
        <f aca="false">L158/L6</f>
        <v>0.199537755777142</v>
      </c>
      <c r="M159" s="1"/>
    </row>
    <row r="160" customFormat="false" ht="15" hidden="false" customHeight="false" outlineLevel="1" collapsed="false">
      <c r="A160" s="1"/>
      <c r="B160" s="34" t="s">
        <v>284</v>
      </c>
      <c r="C160" s="1"/>
      <c r="D160" s="45" t="n">
        <f aca="false">-(D107+D108+D109)</f>
        <v>648.31</v>
      </c>
      <c r="E160" s="45" t="n">
        <f aca="false">-(E107+E108+E109)</f>
        <v>794.15</v>
      </c>
      <c r="F160" s="45" t="n">
        <f aca="false">-(F107+F108+F109)</f>
        <v>1025.79</v>
      </c>
      <c r="G160" s="45" t="n">
        <f aca="false">-(G107+G108+G109)</f>
        <v>1037.30107481322</v>
      </c>
      <c r="H160" s="45" t="n">
        <f aca="false">-(H107+H108+H109)</f>
        <v>1245.12545639573</v>
      </c>
      <c r="I160" s="45" t="n">
        <f aca="false">-(I107+I108+I109)</f>
        <v>1361.44190166714</v>
      </c>
      <c r="J160" s="45" t="n">
        <f aca="false">-(J107+J108+J109)</f>
        <v>1401.85447391193</v>
      </c>
      <c r="K160" s="45" t="n">
        <f aca="false">-(K107+K108+K109)</f>
        <v>1444.23812544032</v>
      </c>
      <c r="L160" s="45" t="n">
        <f aca="false">-(L107+L108+L109)</f>
        <v>1489.2470478188</v>
      </c>
      <c r="M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customFormat="false" ht="21" hidden="false" customHeight="true" outlineLevel="0" collapsed="false">
      <c r="A162" s="1"/>
      <c r="B162" s="26" t="s">
        <v>21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</row>
    <row r="163" customFormat="false" ht="15" hidden="false" customHeight="false" outlineLevel="1" collapsed="false">
      <c r="A163" s="1"/>
      <c r="B163" s="27" t="s">
        <v>49</v>
      </c>
      <c r="C163" s="1"/>
      <c r="D163" s="28"/>
      <c r="E163" s="28"/>
      <c r="F163" s="29" t="s">
        <v>164</v>
      </c>
      <c r="G163" s="28"/>
      <c r="H163" s="28"/>
      <c r="I163" s="28"/>
      <c r="J163" s="28"/>
      <c r="K163" s="28"/>
      <c r="L163" s="29" t="s">
        <v>50</v>
      </c>
      <c r="M163" s="1"/>
    </row>
    <row r="164" customFormat="false" ht="15" hidden="false" customHeight="false" outlineLevel="1" collapsed="false">
      <c r="A164" s="1"/>
      <c r="B164" s="1"/>
      <c r="C164" s="1"/>
      <c r="D164" s="44" t="n">
        <f aca="false">D$5</f>
        <v>2022</v>
      </c>
      <c r="E164" s="44" t="n">
        <f aca="false">E$5</f>
        <v>2023</v>
      </c>
      <c r="F164" s="44" t="n">
        <f aca="false">F$5</f>
        <v>2024</v>
      </c>
      <c r="G164" s="31" t="n">
        <f aca="false">G$5</f>
        <v>2025</v>
      </c>
      <c r="H164" s="31" t="n">
        <f aca="false">H$5</f>
        <v>2026</v>
      </c>
      <c r="I164" s="31" t="n">
        <f aca="false">I$5</f>
        <v>2027</v>
      </c>
      <c r="J164" s="31" t="n">
        <f aca="false">J$5</f>
        <v>2028</v>
      </c>
      <c r="K164" s="31" t="n">
        <f aca="false">K$5</f>
        <v>2029</v>
      </c>
      <c r="L164" s="31" t="n">
        <f aca="false">L$5</f>
        <v>2030</v>
      </c>
      <c r="M164" s="1"/>
    </row>
    <row r="165" customFormat="false" ht="15" hidden="false" customHeight="false" outlineLevel="1" collapsed="false">
      <c r="A165" s="1"/>
      <c r="B165" s="34" t="s">
        <v>100</v>
      </c>
      <c r="C165" s="1"/>
      <c r="D165" s="45" t="n">
        <f aca="false">Inputs!$F$32</f>
        <v>365</v>
      </c>
      <c r="E165" s="45" t="n">
        <f aca="false">Inputs!$F$32</f>
        <v>365</v>
      </c>
      <c r="F165" s="45" t="n">
        <f aca="false">Inputs!$F$32</f>
        <v>365</v>
      </c>
      <c r="G165" s="45" t="n">
        <f aca="false">Inputs!$F$32</f>
        <v>365</v>
      </c>
      <c r="H165" s="45" t="n">
        <f aca="false">Inputs!$F$32</f>
        <v>365</v>
      </c>
      <c r="I165" s="45" t="n">
        <f aca="false">Inputs!$F$32</f>
        <v>365</v>
      </c>
      <c r="J165" s="45" t="n">
        <f aca="false">Inputs!$F$32</f>
        <v>365</v>
      </c>
      <c r="K165" s="45" t="n">
        <f aca="false">Inputs!$F$32</f>
        <v>365</v>
      </c>
      <c r="L165" s="45" t="n">
        <f aca="false">Inputs!$F$32</f>
        <v>365</v>
      </c>
      <c r="M165" s="1"/>
    </row>
    <row r="166" customFormat="false" ht="15" hidden="false" customHeight="false" outlineLevel="1" collapsed="false">
      <c r="A166" s="1"/>
      <c r="B166" s="34" t="s">
        <v>165</v>
      </c>
      <c r="C166" s="1"/>
      <c r="D166" s="45" t="n">
        <f aca="false">D6</f>
        <v>5095.254</v>
      </c>
      <c r="E166" s="45" t="n">
        <f aca="false">E6</f>
        <v>5970.146</v>
      </c>
      <c r="F166" s="45" t="n">
        <f aca="false">F6</f>
        <v>6676.668</v>
      </c>
      <c r="G166" s="45" t="n">
        <f aca="false">G6</f>
        <v>7106.93657668979</v>
      </c>
      <c r="H166" s="45" t="n">
        <f aca="false">H6</f>
        <v>7457.03290319429</v>
      </c>
      <c r="I166" s="45" t="n">
        <f aca="false">I6</f>
        <v>7824.55437723402</v>
      </c>
      <c r="J166" s="45" t="n">
        <f aca="false">J6</f>
        <v>8210.37746839717</v>
      </c>
      <c r="K166" s="45" t="n">
        <f aca="false">K6</f>
        <v>8615.42319768823</v>
      </c>
      <c r="L166" s="45" t="n">
        <f aca="false">L6</f>
        <v>9040.65942549087</v>
      </c>
      <c r="M166" s="1"/>
    </row>
    <row r="167" customFormat="false" ht="15" hidden="false" customHeight="false" outlineLevel="1" collapsed="false">
      <c r="A167" s="1"/>
      <c r="B167" s="34" t="s">
        <v>66</v>
      </c>
      <c r="C167" s="1"/>
      <c r="D167" s="45" t="n">
        <f aca="false">-D7</f>
        <v>2648.953</v>
      </c>
      <c r="E167" s="45" t="n">
        <f aca="false">-E7</f>
        <v>2995.877</v>
      </c>
      <c r="F167" s="45" t="n">
        <f aca="false">-F7</f>
        <v>3329.483</v>
      </c>
      <c r="G167" s="45" t="n">
        <f aca="false">-G7</f>
        <v>3517.93360546145</v>
      </c>
      <c r="H167" s="45" t="n">
        <f aca="false">-H7</f>
        <v>3676.31722127478</v>
      </c>
      <c r="I167" s="45" t="n">
        <f aca="false">-I7</f>
        <v>3841.8561992219</v>
      </c>
      <c r="J167" s="45" t="n">
        <f aca="false">-J7</f>
        <v>4014.87458204622</v>
      </c>
      <c r="K167" s="45" t="n">
        <f aca="false">-K7</f>
        <v>4195.71109727417</v>
      </c>
      <c r="L167" s="45" t="n">
        <f aca="false">-L7</f>
        <v>4384.71982136307</v>
      </c>
      <c r="M167" s="1"/>
    </row>
    <row r="168" customFormat="false" ht="15" hidden="false" customHeight="false" outlineLevel="1" collapsed="false">
      <c r="A168" s="1"/>
      <c r="B168" s="33" t="s">
        <v>285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customFormat="false" ht="15" hidden="false" customHeight="false" outlineLevel="1" collapsed="false">
      <c r="A169" s="1"/>
      <c r="B169" s="34" t="s">
        <v>266</v>
      </c>
      <c r="C169" s="1"/>
      <c r="D169" s="54" t="n">
        <f aca="false">D177/D166*D165</f>
        <v>16.6490443852259</v>
      </c>
      <c r="E169" s="54" t="n">
        <f aca="false">E177/E166*E165</f>
        <v>15.98012845917</v>
      </c>
      <c r="F169" s="54" t="n">
        <f aca="false">F177/F166*F165</f>
        <v>19.0887490586622</v>
      </c>
      <c r="G169" s="54" t="n">
        <f aca="false">Inputs!G25</f>
        <v>19</v>
      </c>
      <c r="H169" s="54" t="n">
        <f aca="false">Inputs!H25</f>
        <v>19</v>
      </c>
      <c r="I169" s="54" t="n">
        <f aca="false">Inputs!I25</f>
        <v>19</v>
      </c>
      <c r="J169" s="54" t="n">
        <f aca="false">Inputs!J25</f>
        <v>19</v>
      </c>
      <c r="K169" s="54" t="n">
        <f aca="false">Inputs!K25</f>
        <v>19</v>
      </c>
      <c r="L169" s="54" t="n">
        <f aca="false">Inputs!L25</f>
        <v>19</v>
      </c>
      <c r="M169" s="1"/>
    </row>
    <row r="170" customFormat="false" ht="15" hidden="false" customHeight="false" outlineLevel="1" collapsed="false">
      <c r="A170" s="1"/>
      <c r="B170" s="34" t="s">
        <v>267</v>
      </c>
      <c r="C170" s="1"/>
      <c r="D170" s="54" t="n">
        <f aca="false">D178/D167*D165</f>
        <v>92.9618721056961</v>
      </c>
      <c r="E170" s="54" t="n">
        <f aca="false">E178/E167*E165</f>
        <v>115.561356490937</v>
      </c>
      <c r="F170" s="54" t="n">
        <f aca="false">F178/F167*F165</f>
        <v>119.295040701514</v>
      </c>
      <c r="G170" s="54" t="n">
        <f aca="false">Inputs!G26</f>
        <v>119</v>
      </c>
      <c r="H170" s="54" t="n">
        <f aca="false">Inputs!H26</f>
        <v>119</v>
      </c>
      <c r="I170" s="54" t="n">
        <f aca="false">Inputs!I26</f>
        <v>119</v>
      </c>
      <c r="J170" s="54" t="n">
        <f aca="false">Inputs!J26</f>
        <v>119</v>
      </c>
      <c r="K170" s="54" t="n">
        <f aca="false">Inputs!K26</f>
        <v>119</v>
      </c>
      <c r="L170" s="54" t="n">
        <f aca="false">Inputs!L26</f>
        <v>119</v>
      </c>
      <c r="M170" s="1"/>
    </row>
    <row r="171" customFormat="false" ht="15" hidden="false" customHeight="false" outlineLevel="1" collapsed="false">
      <c r="A171" s="1"/>
      <c r="B171" s="34" t="s">
        <v>268</v>
      </c>
      <c r="C171" s="1"/>
      <c r="D171" s="54" t="n">
        <f aca="false">D179/D167*D165</f>
        <v>124.420221876341</v>
      </c>
      <c r="E171" s="54" t="n">
        <f aca="false">E179/E167*E165</f>
        <v>113.373946927728</v>
      </c>
      <c r="F171" s="54" t="n">
        <f aca="false">F179/F167*F165</f>
        <v>103.669189781116</v>
      </c>
      <c r="G171" s="54" t="n">
        <f aca="false">Inputs!G27</f>
        <v>104</v>
      </c>
      <c r="H171" s="54" t="n">
        <f aca="false">Inputs!H27</f>
        <v>104</v>
      </c>
      <c r="I171" s="54" t="n">
        <f aca="false">Inputs!I27</f>
        <v>104</v>
      </c>
      <c r="J171" s="54" t="n">
        <f aca="false">Inputs!J27</f>
        <v>104</v>
      </c>
      <c r="K171" s="54" t="n">
        <f aca="false">Inputs!K27</f>
        <v>104</v>
      </c>
      <c r="L171" s="54" t="n">
        <f aca="false">Inputs!L27</f>
        <v>104</v>
      </c>
      <c r="M171" s="1"/>
    </row>
    <row r="172" customFormat="false" ht="15" hidden="false" customHeight="false" outlineLevel="1" collapsed="false">
      <c r="A172" s="1"/>
      <c r="B172" s="34" t="s">
        <v>286</v>
      </c>
      <c r="C172" s="1"/>
      <c r="D172" s="53" t="n">
        <f aca="false">D180/D166</f>
        <v>0.274764908677762</v>
      </c>
      <c r="E172" s="53" t="n">
        <f aca="false">E180/E166</f>
        <v>0.243069097472658</v>
      </c>
      <c r="F172" s="53" t="n">
        <f aca="false">F180/F166</f>
        <v>0.24887144306112</v>
      </c>
      <c r="G172" s="53" t="n">
        <f aca="false">Inputs!G28</f>
        <v>0.249</v>
      </c>
      <c r="H172" s="53" t="n">
        <f aca="false">Inputs!H28</f>
        <v>0.249</v>
      </c>
      <c r="I172" s="53" t="n">
        <f aca="false">Inputs!I28</f>
        <v>0.249</v>
      </c>
      <c r="J172" s="53" t="n">
        <f aca="false">Inputs!J28</f>
        <v>0.249</v>
      </c>
      <c r="K172" s="53" t="n">
        <f aca="false">Inputs!K28</f>
        <v>0.249</v>
      </c>
      <c r="L172" s="53" t="n">
        <f aca="false">Inputs!L28</f>
        <v>0.249</v>
      </c>
      <c r="M172" s="1"/>
    </row>
    <row r="173" customFormat="false" ht="15" hidden="false" customHeight="false" outlineLevel="1" collapsed="false">
      <c r="A173" s="1"/>
      <c r="B173" s="34" t="s">
        <v>287</v>
      </c>
      <c r="C173" s="1"/>
      <c r="D173" s="53" t="n">
        <f aca="false">D181/D166</f>
        <v>0.0300638594268313</v>
      </c>
      <c r="E173" s="53" t="n">
        <f aca="false">E181/E166</f>
        <v>0.021813201888195</v>
      </c>
      <c r="F173" s="53" t="n">
        <f aca="false">F181/F166</f>
        <v>0.0206334956298561</v>
      </c>
      <c r="G173" s="53" t="n">
        <f aca="false">Inputs!G29</f>
        <v>0.021</v>
      </c>
      <c r="H173" s="53" t="n">
        <f aca="false">Inputs!H29</f>
        <v>0.021</v>
      </c>
      <c r="I173" s="53" t="n">
        <f aca="false">Inputs!I29</f>
        <v>0.021</v>
      </c>
      <c r="J173" s="53" t="n">
        <f aca="false">Inputs!J29</f>
        <v>0.021</v>
      </c>
      <c r="K173" s="53" t="n">
        <f aca="false">Inputs!K29</f>
        <v>0.021</v>
      </c>
      <c r="L173" s="53" t="n">
        <f aca="false">Inputs!L29</f>
        <v>0.021</v>
      </c>
      <c r="M173" s="1"/>
    </row>
    <row r="174" customFormat="false" ht="15" hidden="false" customHeight="false" outlineLevel="1" collapsed="false">
      <c r="A174" s="1"/>
      <c r="B174" s="34" t="s">
        <v>288</v>
      </c>
      <c r="C174" s="1"/>
      <c r="D174" s="53" t="n">
        <f aca="false">D182/D166</f>
        <v>0.1868454448002</v>
      </c>
      <c r="E174" s="53" t="n">
        <f aca="false">E182/E166</f>
        <v>0.171347065884151</v>
      </c>
      <c r="F174" s="53" t="n">
        <f aca="false">F182/F166</f>
        <v>0.165684589978115</v>
      </c>
      <c r="G174" s="53" t="n">
        <f aca="false">Inputs!G30</f>
        <v>0.166</v>
      </c>
      <c r="H174" s="53" t="n">
        <f aca="false">Inputs!H30</f>
        <v>0.166</v>
      </c>
      <c r="I174" s="53" t="n">
        <f aca="false">Inputs!I30</f>
        <v>0.166</v>
      </c>
      <c r="J174" s="53" t="n">
        <f aca="false">Inputs!J30</f>
        <v>0.166</v>
      </c>
      <c r="K174" s="53" t="n">
        <f aca="false">Inputs!K30</f>
        <v>0.166</v>
      </c>
      <c r="L174" s="53" t="n">
        <f aca="false">Inputs!L30</f>
        <v>0.166</v>
      </c>
      <c r="M174" s="1"/>
    </row>
    <row r="175" customFormat="false" ht="15" hidden="false" customHeight="false" outlineLevel="1" collapsed="false">
      <c r="A175" s="1"/>
      <c r="B175" s="34" t="s">
        <v>289</v>
      </c>
      <c r="C175" s="1"/>
      <c r="D175" s="53" t="n">
        <f aca="false">D183/D166</f>
        <v>0.035463197713009</v>
      </c>
      <c r="E175" s="53" t="n">
        <f aca="false">E183/E166</f>
        <v>0.0313687470959672</v>
      </c>
      <c r="F175" s="53" t="n">
        <f aca="false">F183/F166</f>
        <v>0.0308854656244702</v>
      </c>
      <c r="G175" s="53" t="n">
        <f aca="false">Inputs!G31</f>
        <v>0.031</v>
      </c>
      <c r="H175" s="53" t="n">
        <f aca="false">Inputs!H31</f>
        <v>0.031</v>
      </c>
      <c r="I175" s="53" t="n">
        <f aca="false">Inputs!I31</f>
        <v>0.031</v>
      </c>
      <c r="J175" s="53" t="n">
        <f aca="false">Inputs!J31</f>
        <v>0.031</v>
      </c>
      <c r="K175" s="53" t="n">
        <f aca="false">Inputs!K31</f>
        <v>0.031</v>
      </c>
      <c r="L175" s="53" t="n">
        <f aca="false">Inputs!L31</f>
        <v>0.031</v>
      </c>
      <c r="M175" s="1"/>
    </row>
    <row r="176" customFormat="false" ht="15" hidden="false" customHeight="false" outlineLevel="1" collapsed="false">
      <c r="A176" s="1"/>
      <c r="B176" s="33" t="s">
        <v>290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customFormat="false" ht="15" hidden="false" customHeight="false" outlineLevel="1" collapsed="false">
      <c r="A177" s="1"/>
      <c r="B177" s="34" t="s">
        <v>85</v>
      </c>
      <c r="C177" s="1"/>
      <c r="D177" s="45" t="n">
        <f aca="false">D62</f>
        <v>232.414</v>
      </c>
      <c r="E177" s="45" t="n">
        <f aca="false">E62</f>
        <v>261.38</v>
      </c>
      <c r="F177" s="45" t="n">
        <f aca="false">F62</f>
        <v>349.176</v>
      </c>
      <c r="G177" s="45" t="n">
        <f aca="false">G166*G169/G165</f>
        <v>369.950123170154</v>
      </c>
      <c r="H177" s="45" t="n">
        <f aca="false">H166*H169/H165</f>
        <v>388.174315508744</v>
      </c>
      <c r="I177" s="45" t="n">
        <f aca="false">I166*I169/I165</f>
        <v>407.305570321771</v>
      </c>
      <c r="J177" s="45" t="n">
        <f aca="false">J166*J169/J165</f>
        <v>427.389512053551</v>
      </c>
      <c r="K177" s="45" t="n">
        <f aca="false">K166*K169/K165</f>
        <v>448.474084263223</v>
      </c>
      <c r="L177" s="45" t="n">
        <f aca="false">L166*L169/L165</f>
        <v>470.609668724182</v>
      </c>
      <c r="M177" s="1"/>
    </row>
    <row r="178" customFormat="false" ht="15" hidden="false" customHeight="false" outlineLevel="1" collapsed="false">
      <c r="A178" s="1"/>
      <c r="B178" s="34" t="s">
        <v>88</v>
      </c>
      <c r="C178" s="1"/>
      <c r="D178" s="45" t="n">
        <f aca="false">D61</f>
        <v>674.662</v>
      </c>
      <c r="E178" s="45" t="n">
        <f aca="false">E61</f>
        <v>948.514</v>
      </c>
      <c r="F178" s="45" t="n">
        <f aca="false">F61</f>
        <v>1088.194</v>
      </c>
      <c r="G178" s="45" t="n">
        <f aca="false">G167*G170/G165</f>
        <v>1146.94273712305</v>
      </c>
      <c r="H178" s="45" t="n">
        <f aca="false">H167*H170/H165</f>
        <v>1198.58013515534</v>
      </c>
      <c r="I178" s="45" t="n">
        <f aca="false">I167*I170/I165</f>
        <v>1252.55037728057</v>
      </c>
      <c r="J178" s="45" t="n">
        <f aca="false">J167*J170/J165</f>
        <v>1308.95911031096</v>
      </c>
      <c r="K178" s="45" t="n">
        <f aca="false">K167*K170/K165</f>
        <v>1367.91676870035</v>
      </c>
      <c r="L178" s="45" t="n">
        <f aca="false">L167*L170/L165</f>
        <v>1429.53879107454</v>
      </c>
      <c r="M178" s="1"/>
    </row>
    <row r="179" customFormat="false" ht="15" hidden="false" customHeight="false" outlineLevel="1" collapsed="false">
      <c r="A179" s="1"/>
      <c r="B179" s="34" t="s">
        <v>90</v>
      </c>
      <c r="C179" s="1"/>
      <c r="D179" s="45" t="n">
        <f aca="false">D80</f>
        <v>902.968</v>
      </c>
      <c r="E179" s="45" t="n">
        <f aca="false">E80</f>
        <v>930.56</v>
      </c>
      <c r="F179" s="45" t="n">
        <f aca="false">F80</f>
        <v>945.657</v>
      </c>
      <c r="G179" s="45" t="n">
        <f aca="false">G167*G171/G165</f>
        <v>1002.37012319997</v>
      </c>
      <c r="H179" s="45" t="n">
        <f aca="false">H167*H171/H165</f>
        <v>1047.49860551391</v>
      </c>
      <c r="I179" s="45" t="n">
        <f aca="false">I167*I171/I165</f>
        <v>1094.66587594268</v>
      </c>
      <c r="J179" s="45" t="n">
        <f aca="false">J167*J171/J165</f>
        <v>1143.96426447344</v>
      </c>
      <c r="K179" s="45" t="n">
        <f aca="false">K167*K171/K165</f>
        <v>1195.49028525072</v>
      </c>
      <c r="L179" s="45" t="n">
        <f aca="false">L167*L171/L165</f>
        <v>1249.34482581304</v>
      </c>
      <c r="M179" s="1"/>
    </row>
    <row r="180" customFormat="false" ht="15" hidden="false" customHeight="false" outlineLevel="1" collapsed="false">
      <c r="A180" s="1"/>
      <c r="B180" s="34" t="s">
        <v>92</v>
      </c>
      <c r="C180" s="1"/>
      <c r="D180" s="45" t="n">
        <f aca="false">D63</f>
        <v>1399.997</v>
      </c>
      <c r="E180" s="45" t="n">
        <f aca="false">E63</f>
        <v>1451.158</v>
      </c>
      <c r="F180" s="45" t="n">
        <f aca="false">F63</f>
        <v>1661.632</v>
      </c>
      <c r="G180" s="45" t="n">
        <f aca="false">G166*G172</f>
        <v>1769.62720759576</v>
      </c>
      <c r="H180" s="45" t="n">
        <f aca="false">H166*H172</f>
        <v>1856.80119289538</v>
      </c>
      <c r="I180" s="45" t="n">
        <f aca="false">I166*I172</f>
        <v>1948.31403993127</v>
      </c>
      <c r="J180" s="45" t="n">
        <f aca="false">J166*J172</f>
        <v>2044.38398963089</v>
      </c>
      <c r="K180" s="45" t="n">
        <f aca="false">K166*K172</f>
        <v>2145.24037622437</v>
      </c>
      <c r="L180" s="45" t="n">
        <f aca="false">L166*L172</f>
        <v>2251.12419694723</v>
      </c>
      <c r="M180" s="1"/>
    </row>
    <row r="181" customFormat="false" ht="15" hidden="false" customHeight="false" outlineLevel="1" collapsed="false">
      <c r="A181" s="1"/>
      <c r="B181" s="34" t="s">
        <v>94</v>
      </c>
      <c r="C181" s="1"/>
      <c r="D181" s="45" t="n">
        <f aca="false">D65</f>
        <v>153.183</v>
      </c>
      <c r="E181" s="45" t="n">
        <f aca="false">E65</f>
        <v>130.228</v>
      </c>
      <c r="F181" s="45" t="n">
        <f aca="false">F65</f>
        <v>137.763</v>
      </c>
      <c r="G181" s="45" t="n">
        <f aca="false">G166*G173</f>
        <v>149.245668110486</v>
      </c>
      <c r="H181" s="45" t="n">
        <f aca="false">H166*H173</f>
        <v>156.59769096708</v>
      </c>
      <c r="I181" s="45" t="n">
        <f aca="false">I166*I173</f>
        <v>164.315641921914</v>
      </c>
      <c r="J181" s="45" t="n">
        <f aca="false">J166*J173</f>
        <v>172.417926836341</v>
      </c>
      <c r="K181" s="45" t="n">
        <f aca="false">K166*K173</f>
        <v>180.923887151453</v>
      </c>
      <c r="L181" s="45" t="n">
        <f aca="false">L166*L173</f>
        <v>189.853847935308</v>
      </c>
      <c r="M181" s="1"/>
    </row>
    <row r="182" customFormat="false" ht="15" hidden="false" customHeight="false" outlineLevel="1" collapsed="false">
      <c r="A182" s="1"/>
      <c r="B182" s="34" t="s">
        <v>96</v>
      </c>
      <c r="C182" s="1"/>
      <c r="D182" s="45" t="n">
        <f aca="false">D78</f>
        <v>952.025</v>
      </c>
      <c r="E182" s="45" t="n">
        <f aca="false">E78</f>
        <v>1022.967</v>
      </c>
      <c r="F182" s="45" t="n">
        <f aca="false">F78</f>
        <v>1106.221</v>
      </c>
      <c r="G182" s="45" t="n">
        <f aca="false">G166*G174</f>
        <v>1179.75147173051</v>
      </c>
      <c r="H182" s="45" t="n">
        <f aca="false">H166*H174</f>
        <v>1237.86746193025</v>
      </c>
      <c r="I182" s="45" t="n">
        <f aca="false">I166*I174</f>
        <v>1298.87602662085</v>
      </c>
      <c r="J182" s="45" t="n">
        <f aca="false">J166*J174</f>
        <v>1362.92265975393</v>
      </c>
      <c r="K182" s="45" t="n">
        <f aca="false">K166*K174</f>
        <v>1430.16025081625</v>
      </c>
      <c r="L182" s="45" t="n">
        <f aca="false">L166*L174</f>
        <v>1500.74946463149</v>
      </c>
      <c r="M182" s="1"/>
    </row>
    <row r="183" customFormat="false" ht="15" hidden="false" customHeight="false" outlineLevel="1" collapsed="false">
      <c r="A183" s="1"/>
      <c r="B183" s="34" t="s">
        <v>98</v>
      </c>
      <c r="C183" s="1"/>
      <c r="D183" s="45" t="n">
        <f aca="false">D75</f>
        <v>180.694</v>
      </c>
      <c r="E183" s="45" t="n">
        <f aca="false">E75</f>
        <v>187.276</v>
      </c>
      <c r="F183" s="45" t="n">
        <f aca="false">F75</f>
        <v>206.212</v>
      </c>
      <c r="G183" s="45" t="n">
        <f aca="false">G166*G175</f>
        <v>220.315033877384</v>
      </c>
      <c r="H183" s="45" t="n">
        <f aca="false">H166*H175</f>
        <v>231.168019999023</v>
      </c>
      <c r="I183" s="45" t="n">
        <f aca="false">I166*I175</f>
        <v>242.561185694255</v>
      </c>
      <c r="J183" s="45" t="n">
        <f aca="false">J166*J175</f>
        <v>254.521701520312</v>
      </c>
      <c r="K183" s="45" t="n">
        <f aca="false">K166*K175</f>
        <v>267.078119128335</v>
      </c>
      <c r="L183" s="45" t="n">
        <f aca="false">L166*L175</f>
        <v>280.260442190217</v>
      </c>
      <c r="M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customFormat="false" ht="21" hidden="false" customHeight="true" outlineLevel="0" collapsed="false">
      <c r="A185" s="1"/>
      <c r="B185" s="26" t="s">
        <v>22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/>
    </row>
    <row r="186" customFormat="false" ht="15" hidden="false" customHeight="false" outlineLevel="1" collapsed="false">
      <c r="A186" s="1"/>
      <c r="B186" s="27" t="s">
        <v>49</v>
      </c>
      <c r="C186" s="1"/>
      <c r="D186" s="28"/>
      <c r="E186" s="28"/>
      <c r="F186" s="29" t="s">
        <v>164</v>
      </c>
      <c r="G186" s="28"/>
      <c r="H186" s="28"/>
      <c r="I186" s="28"/>
      <c r="J186" s="28"/>
      <c r="K186" s="28"/>
      <c r="L186" s="29" t="s">
        <v>50</v>
      </c>
      <c r="M186" s="1"/>
    </row>
    <row r="187" customFormat="false" ht="15" hidden="false" customHeight="false" outlineLevel="1" collapsed="false">
      <c r="A187" s="1"/>
      <c r="B187" s="1"/>
      <c r="C187" s="1"/>
      <c r="D187" s="44" t="n">
        <f aca="false">D$5</f>
        <v>2022</v>
      </c>
      <c r="E187" s="44" t="n">
        <f aca="false">E$5</f>
        <v>2023</v>
      </c>
      <c r="F187" s="44" t="n">
        <f aca="false">F$5</f>
        <v>2024</v>
      </c>
      <c r="G187" s="31" t="n">
        <f aca="false">G$5</f>
        <v>2025</v>
      </c>
      <c r="H187" s="31" t="n">
        <f aca="false">H$5</f>
        <v>2026</v>
      </c>
      <c r="I187" s="31" t="n">
        <f aca="false">I$5</f>
        <v>2027</v>
      </c>
      <c r="J187" s="31" t="n">
        <f aca="false">J$5</f>
        <v>2028</v>
      </c>
      <c r="K187" s="31" t="n">
        <f aca="false">K$5</f>
        <v>2029</v>
      </c>
      <c r="L187" s="31" t="n">
        <f aca="false">L$5</f>
        <v>2030</v>
      </c>
      <c r="M187" s="1"/>
    </row>
    <row r="188" customFormat="false" ht="15" hidden="false" customHeight="false" outlineLevel="1" collapsed="false">
      <c r="A188" s="1"/>
      <c r="B188" s="33" t="s">
        <v>291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customFormat="false" ht="15" hidden="false" customHeight="false" outlineLevel="1" collapsed="false">
      <c r="A189" s="1"/>
      <c r="B189" s="34" t="s">
        <v>292</v>
      </c>
      <c r="C189" s="1"/>
      <c r="D189" s="45"/>
      <c r="E189" s="45" t="n">
        <f aca="false">D192</f>
        <v>1457.825</v>
      </c>
      <c r="F189" s="45" t="n">
        <f aca="false">E192</f>
        <v>1575.2</v>
      </c>
      <c r="G189" s="45" t="n">
        <f aca="false">F192</f>
        <v>1828.784</v>
      </c>
      <c r="H189" s="45" t="n">
        <f aca="false">G192</f>
        <v>1975.81264144801</v>
      </c>
      <c r="I189" s="45" t="n">
        <f aca="false">H192</f>
        <v>2121.82771682332</v>
      </c>
      <c r="J189" s="45" t="n">
        <f aca="false">I192</f>
        <v>2267.98685176351</v>
      </c>
      <c r="K189" s="45" t="n">
        <f aca="false">J192</f>
        <v>2415.33065142484</v>
      </c>
      <c r="L189" s="45" t="n">
        <f aca="false">K192</f>
        <v>2564.80225243415</v>
      </c>
      <c r="M189" s="1"/>
    </row>
    <row r="190" customFormat="false" ht="15" hidden="false" customHeight="false" outlineLevel="1" collapsed="false">
      <c r="A190" s="1"/>
      <c r="B190" s="34" t="s">
        <v>281</v>
      </c>
      <c r="C190" s="1"/>
      <c r="D190" s="45" t="n">
        <f aca="false">-D102</f>
        <v>347.725</v>
      </c>
      <c r="E190" s="45" t="n">
        <f aca="false">-E102</f>
        <v>381.762</v>
      </c>
      <c r="F190" s="45" t="n">
        <f aca="false">-F102</f>
        <v>482.277</v>
      </c>
      <c r="G190" s="45" t="n">
        <f aca="false">G6*G200</f>
        <v>412.202321448008</v>
      </c>
      <c r="H190" s="45" t="n">
        <f aca="false">H6*H200</f>
        <v>432.507908385269</v>
      </c>
      <c r="I190" s="45" t="n">
        <f aca="false">I6*I200</f>
        <v>453.824153879573</v>
      </c>
      <c r="J190" s="45" t="n">
        <f aca="false">J6*J200</f>
        <v>476.201893167036</v>
      </c>
      <c r="K190" s="45" t="n">
        <f aca="false">K6*K200</f>
        <v>499.694545465917</v>
      </c>
      <c r="L190" s="45" t="n">
        <f aca="false">L6*L200</f>
        <v>524.358246678471</v>
      </c>
      <c r="M190" s="1"/>
    </row>
    <row r="191" customFormat="false" ht="15" hidden="false" customHeight="false" outlineLevel="1" collapsed="false">
      <c r="A191" s="1"/>
      <c r="B191" s="34" t="s">
        <v>293</v>
      </c>
      <c r="C191" s="1"/>
      <c r="D191" s="45"/>
      <c r="E191" s="45" t="n">
        <f aca="false">E192-E189-E190</f>
        <v>-264.387</v>
      </c>
      <c r="F191" s="45" t="n">
        <f aca="false">F192-F189-F190</f>
        <v>-228.693</v>
      </c>
      <c r="G191" s="45" t="n">
        <f aca="false">-G189*G202</f>
        <v>-265.17368</v>
      </c>
      <c r="H191" s="45" t="n">
        <f aca="false">-H189*H202</f>
        <v>-286.492833009961</v>
      </c>
      <c r="I191" s="45" t="n">
        <f aca="false">-I189*I202</f>
        <v>-307.665018939381</v>
      </c>
      <c r="J191" s="45" t="n">
        <f aca="false">-J189*J202</f>
        <v>-328.858093505709</v>
      </c>
      <c r="K191" s="45" t="n">
        <f aca="false">-K189*K202</f>
        <v>-350.222944456601</v>
      </c>
      <c r="L191" s="45" t="n">
        <f aca="false">-L189*L202</f>
        <v>-371.896326602952</v>
      </c>
      <c r="M191" s="1"/>
    </row>
    <row r="192" customFormat="false" ht="15" hidden="false" customHeight="false" outlineLevel="1" collapsed="false">
      <c r="A192" s="1"/>
      <c r="B192" s="46" t="s">
        <v>294</v>
      </c>
      <c r="C192" s="47"/>
      <c r="D192" s="48" t="n">
        <f aca="false">D57</f>
        <v>1457.825</v>
      </c>
      <c r="E192" s="48" t="n">
        <f aca="false">E57</f>
        <v>1575.2</v>
      </c>
      <c r="F192" s="48" t="n">
        <f aca="false">F57</f>
        <v>1828.784</v>
      </c>
      <c r="G192" s="48" t="n">
        <f aca="false">SUM(G189:G191)</f>
        <v>1975.81264144801</v>
      </c>
      <c r="H192" s="48" t="n">
        <f aca="false">SUM(H189:H191)</f>
        <v>2121.82771682332</v>
      </c>
      <c r="I192" s="48" t="n">
        <f aca="false">SUM(I189:I191)</f>
        <v>2267.98685176351</v>
      </c>
      <c r="J192" s="48" t="n">
        <f aca="false">SUM(J189:J191)</f>
        <v>2415.33065142484</v>
      </c>
      <c r="K192" s="48" t="n">
        <f aca="false">SUM(K189:K191)</f>
        <v>2564.80225243415</v>
      </c>
      <c r="L192" s="48" t="n">
        <f aca="false">SUM(L189:L191)</f>
        <v>2717.26417250967</v>
      </c>
      <c r="M192" s="1"/>
    </row>
    <row r="193" customFormat="false" ht="15" hidden="false" customHeight="false" outlineLevel="1" collapsed="false">
      <c r="A193" s="1"/>
      <c r="B193" s="33" t="s">
        <v>295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customFormat="false" ht="15" hidden="false" customHeight="false" outlineLevel="1" collapsed="false">
      <c r="A194" s="1"/>
      <c r="B194" s="34" t="s">
        <v>292</v>
      </c>
      <c r="C194" s="1"/>
      <c r="D194" s="45"/>
      <c r="E194" s="45" t="n">
        <f aca="false">D197</f>
        <v>1307.388</v>
      </c>
      <c r="F194" s="45" t="n">
        <f aca="false">E197</f>
        <v>1419.699</v>
      </c>
      <c r="G194" s="45" t="n">
        <f aca="false">F197</f>
        <v>1545.664</v>
      </c>
      <c r="H194" s="45" t="n">
        <f aca="false">G197</f>
        <v>1536.52143287132</v>
      </c>
      <c r="I194" s="45" t="n">
        <f aca="false">H197</f>
        <v>1549.78456434388</v>
      </c>
      <c r="J194" s="45" t="n">
        <f aca="false">I197</f>
        <v>1580.44190060206</v>
      </c>
      <c r="K194" s="45" t="n">
        <f aca="false">J197</f>
        <v>1624.87498693935</v>
      </c>
      <c r="L194" s="45" t="n">
        <f aca="false">K197</f>
        <v>1680.48761270783</v>
      </c>
      <c r="M194" s="1"/>
    </row>
    <row r="195" customFormat="false" ht="15" hidden="false" customHeight="false" outlineLevel="1" collapsed="false">
      <c r="A195" s="1"/>
      <c r="B195" s="34" t="s">
        <v>281</v>
      </c>
      <c r="C195" s="1"/>
      <c r="D195" s="45" t="n">
        <f aca="false">-D101</f>
        <v>456.894</v>
      </c>
      <c r="E195" s="45" t="n">
        <f aca="false">-E101</f>
        <v>487.148</v>
      </c>
      <c r="F195" s="45" t="n">
        <f aca="false">-F101</f>
        <v>506.874</v>
      </c>
      <c r="G195" s="45" t="n">
        <f aca="false">G6*G201</f>
        <v>405.095384871318</v>
      </c>
      <c r="H195" s="45" t="n">
        <f aca="false">H6*H201</f>
        <v>425.050875482074</v>
      </c>
      <c r="I195" s="45" t="n">
        <f aca="false">I6*I201</f>
        <v>445.999599502339</v>
      </c>
      <c r="J195" s="45" t="n">
        <f aca="false">J6*J201</f>
        <v>467.991515698639</v>
      </c>
      <c r="K195" s="45" t="n">
        <f aca="false">K6*K201</f>
        <v>491.079122268229</v>
      </c>
      <c r="L195" s="45" t="n">
        <f aca="false">L6*L201</f>
        <v>515.31758725298</v>
      </c>
      <c r="M195" s="1"/>
    </row>
    <row r="196" customFormat="false" ht="15" hidden="false" customHeight="false" outlineLevel="1" collapsed="false">
      <c r="A196" s="1"/>
      <c r="B196" s="34" t="s">
        <v>296</v>
      </c>
      <c r="C196" s="1"/>
      <c r="D196" s="45"/>
      <c r="E196" s="45" t="n">
        <f aca="false">E197-E194-E195</f>
        <v>-374.837</v>
      </c>
      <c r="F196" s="45" t="n">
        <f aca="false">F197-F194-F195</f>
        <v>-380.909</v>
      </c>
      <c r="G196" s="45" t="n">
        <f aca="false">-G194*G203</f>
        <v>-414.237952</v>
      </c>
      <c r="H196" s="45" t="n">
        <f aca="false">-H194*H203</f>
        <v>-411.787744009513</v>
      </c>
      <c r="I196" s="45" t="n">
        <f aca="false">-I194*I203</f>
        <v>-415.34226324416</v>
      </c>
      <c r="J196" s="45" t="n">
        <f aca="false">-J194*J203</f>
        <v>-423.558429361352</v>
      </c>
      <c r="K196" s="45" t="n">
        <f aca="false">-K194*K203</f>
        <v>-435.466496499745</v>
      </c>
      <c r="L196" s="45" t="n">
        <f aca="false">-L194*L203</f>
        <v>-450.370680205699</v>
      </c>
      <c r="M196" s="1"/>
    </row>
    <row r="197" customFormat="false" ht="15" hidden="false" customHeight="false" outlineLevel="1" collapsed="false">
      <c r="A197" s="1"/>
      <c r="B197" s="46" t="s">
        <v>294</v>
      </c>
      <c r="C197" s="47"/>
      <c r="D197" s="48" t="n">
        <f aca="false">D56</f>
        <v>1307.388</v>
      </c>
      <c r="E197" s="48" t="n">
        <f aca="false">E56</f>
        <v>1419.699</v>
      </c>
      <c r="F197" s="48" t="n">
        <f aca="false">F56</f>
        <v>1545.664</v>
      </c>
      <c r="G197" s="48" t="n">
        <f aca="false">SUM(G194:G196)</f>
        <v>1536.52143287132</v>
      </c>
      <c r="H197" s="48" t="n">
        <f aca="false">SUM(H194:H196)</f>
        <v>1549.78456434388</v>
      </c>
      <c r="I197" s="48" t="n">
        <f aca="false">SUM(I194:I196)</f>
        <v>1580.44190060206</v>
      </c>
      <c r="J197" s="48" t="n">
        <f aca="false">SUM(J194:J196)</f>
        <v>1624.87498693935</v>
      </c>
      <c r="K197" s="48" t="n">
        <f aca="false">SUM(K194:K196)</f>
        <v>1680.48761270783</v>
      </c>
      <c r="L197" s="48" t="n">
        <f aca="false">SUM(L194:L196)</f>
        <v>1745.43451975511</v>
      </c>
      <c r="M197" s="1"/>
    </row>
    <row r="198" customFormat="false" ht="15" hidden="false" customHeight="false" outlineLevel="1" collapsed="false">
      <c r="A198" s="1"/>
      <c r="B198" s="46" t="s">
        <v>297</v>
      </c>
      <c r="C198" s="47"/>
      <c r="D198" s="48" t="n">
        <f aca="false">D22</f>
        <v>546.225</v>
      </c>
      <c r="E198" s="48" t="n">
        <f aca="false">E22</f>
        <v>662.305</v>
      </c>
      <c r="F198" s="48" t="n">
        <f aca="false">F22</f>
        <v>666.777</v>
      </c>
      <c r="G198" s="48" t="n">
        <f aca="false">-(G191+G196)</f>
        <v>679.411632</v>
      </c>
      <c r="H198" s="48" t="n">
        <f aca="false">-(H191+H196)</f>
        <v>698.280577019474</v>
      </c>
      <c r="I198" s="48" t="n">
        <f aca="false">-(I191+I196)</f>
        <v>723.00728218354</v>
      </c>
      <c r="J198" s="48" t="n">
        <f aca="false">-(J191+J196)</f>
        <v>752.41652286706</v>
      </c>
      <c r="K198" s="48" t="n">
        <f aca="false">-(K191+K196)</f>
        <v>785.689440956346</v>
      </c>
      <c r="L198" s="48" t="n">
        <f aca="false">-(L191+L196)</f>
        <v>822.267006808651</v>
      </c>
      <c r="M198" s="1"/>
    </row>
    <row r="199" customFormat="false" ht="15" hidden="false" customHeight="false" outlineLevel="1" collapsed="false">
      <c r="A199" s="1"/>
      <c r="B199" s="33" t="s">
        <v>178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customFormat="false" ht="15" hidden="false" customHeight="false" outlineLevel="1" collapsed="false">
      <c r="A200" s="1"/>
      <c r="B200" s="34" t="s">
        <v>298</v>
      </c>
      <c r="C200" s="1"/>
      <c r="D200" s="53" t="n">
        <f aca="false">D190/D6</f>
        <v>0.0682448804318686</v>
      </c>
      <c r="E200" s="53" t="n">
        <f aca="false">E190/E6</f>
        <v>0.0639451698501176</v>
      </c>
      <c r="F200" s="53" t="n">
        <f aca="false">F190/F6</f>
        <v>0.0722331857747008</v>
      </c>
      <c r="G200" s="53" t="n">
        <f aca="false">Inputs!G36</f>
        <v>0.058</v>
      </c>
      <c r="H200" s="53" t="n">
        <f aca="false">Inputs!H36</f>
        <v>0.058</v>
      </c>
      <c r="I200" s="53" t="n">
        <f aca="false">Inputs!I36</f>
        <v>0.058</v>
      </c>
      <c r="J200" s="53" t="n">
        <f aca="false">Inputs!J36</f>
        <v>0.058</v>
      </c>
      <c r="K200" s="53" t="n">
        <f aca="false">Inputs!K36</f>
        <v>0.058</v>
      </c>
      <c r="L200" s="53" t="n">
        <f aca="false">Inputs!L36</f>
        <v>0.058</v>
      </c>
      <c r="M200" s="1"/>
    </row>
    <row r="201" customFormat="false" ht="15" hidden="false" customHeight="false" outlineLevel="1" collapsed="false">
      <c r="A201" s="1"/>
      <c r="B201" s="34" t="s">
        <v>299</v>
      </c>
      <c r="C201" s="1"/>
      <c r="D201" s="53" t="n">
        <f aca="false">D195/D6</f>
        <v>0.0896705051406662</v>
      </c>
      <c r="E201" s="53" t="n">
        <f aca="false">E195/E6</f>
        <v>0.0815973344705473</v>
      </c>
      <c r="F201" s="53" t="n">
        <f aca="false">F195/F6</f>
        <v>0.0759172090030536</v>
      </c>
      <c r="G201" s="53" t="n">
        <f aca="false">Inputs!G37</f>
        <v>0.057</v>
      </c>
      <c r="H201" s="53" t="n">
        <f aca="false">Inputs!H37</f>
        <v>0.057</v>
      </c>
      <c r="I201" s="53" t="n">
        <f aca="false">Inputs!I37</f>
        <v>0.057</v>
      </c>
      <c r="J201" s="53" t="n">
        <f aca="false">Inputs!J37</f>
        <v>0.057</v>
      </c>
      <c r="K201" s="53" t="n">
        <f aca="false">Inputs!K37</f>
        <v>0.057</v>
      </c>
      <c r="L201" s="53" t="n">
        <f aca="false">Inputs!L37</f>
        <v>0.057</v>
      </c>
      <c r="M201" s="1"/>
    </row>
    <row r="202" customFormat="false" ht="15" hidden="false" customHeight="false" outlineLevel="1" collapsed="false">
      <c r="A202" s="1"/>
      <c r="B202" s="34" t="s">
        <v>300</v>
      </c>
      <c r="C202" s="1"/>
      <c r="D202" s="53"/>
      <c r="E202" s="53" t="n">
        <f aca="false">-E191/E189</f>
        <v>0.181357158781061</v>
      </c>
      <c r="F202" s="53" t="n">
        <f aca="false">-F191/F189</f>
        <v>0.145183468765871</v>
      </c>
      <c r="G202" s="53" t="n">
        <f aca="false">Inputs!G38</f>
        <v>0.145</v>
      </c>
      <c r="H202" s="53" t="n">
        <f aca="false">Inputs!H38</f>
        <v>0.145</v>
      </c>
      <c r="I202" s="53" t="n">
        <f aca="false">Inputs!I38</f>
        <v>0.145</v>
      </c>
      <c r="J202" s="53" t="n">
        <f aca="false">Inputs!J38</f>
        <v>0.145</v>
      </c>
      <c r="K202" s="53" t="n">
        <f aca="false">Inputs!K38</f>
        <v>0.145</v>
      </c>
      <c r="L202" s="53" t="n">
        <f aca="false">Inputs!L38</f>
        <v>0.145</v>
      </c>
      <c r="M202" s="1"/>
    </row>
    <row r="203" customFormat="false" ht="15" hidden="false" customHeight="false" outlineLevel="1" collapsed="false">
      <c r="A203" s="1"/>
      <c r="B203" s="34" t="s">
        <v>301</v>
      </c>
      <c r="C203" s="1"/>
      <c r="D203" s="53"/>
      <c r="E203" s="53" t="n">
        <f aca="false">-E196/E194</f>
        <v>0.286706777177089</v>
      </c>
      <c r="F203" s="53" t="n">
        <f aca="false">-F196/F194</f>
        <v>0.268302647251284</v>
      </c>
      <c r="G203" s="53" t="n">
        <f aca="false">Inputs!G39</f>
        <v>0.268</v>
      </c>
      <c r="H203" s="53" t="n">
        <f aca="false">Inputs!H39</f>
        <v>0.268</v>
      </c>
      <c r="I203" s="53" t="n">
        <f aca="false">Inputs!I39</f>
        <v>0.268</v>
      </c>
      <c r="J203" s="53" t="n">
        <f aca="false">Inputs!J39</f>
        <v>0.268</v>
      </c>
      <c r="K203" s="53" t="n">
        <f aca="false">Inputs!K39</f>
        <v>0.268</v>
      </c>
      <c r="L203" s="53" t="n">
        <f aca="false">Inputs!L39</f>
        <v>0.268</v>
      </c>
      <c r="M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customFormat="false" ht="21" hidden="false" customHeight="true" outlineLevel="0" collapsed="false">
      <c r="A205" s="1"/>
      <c r="B205" s="26" t="s">
        <v>23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"/>
    </row>
    <row r="206" customFormat="false" ht="15" hidden="false" customHeight="false" outlineLevel="1" collapsed="false">
      <c r="A206" s="1"/>
      <c r="B206" s="27" t="s">
        <v>49</v>
      </c>
      <c r="C206" s="1"/>
      <c r="D206" s="28"/>
      <c r="E206" s="28"/>
      <c r="F206" s="29" t="s">
        <v>164</v>
      </c>
      <c r="G206" s="28"/>
      <c r="H206" s="28"/>
      <c r="I206" s="28"/>
      <c r="J206" s="28"/>
      <c r="K206" s="28"/>
      <c r="L206" s="29" t="s">
        <v>50</v>
      </c>
      <c r="M206" s="1"/>
    </row>
    <row r="207" customFormat="false" ht="15" hidden="false" customHeight="false" outlineLevel="1" collapsed="false">
      <c r="A207" s="1"/>
      <c r="B207" s="1"/>
      <c r="C207" s="1"/>
      <c r="D207" s="44" t="n">
        <f aca="false">D$5</f>
        <v>2022</v>
      </c>
      <c r="E207" s="44" t="n">
        <f aca="false">E$5</f>
        <v>2023</v>
      </c>
      <c r="F207" s="44" t="n">
        <f aca="false">F$5</f>
        <v>2024</v>
      </c>
      <c r="G207" s="31" t="n">
        <f aca="false">G$5</f>
        <v>2025</v>
      </c>
      <c r="H207" s="31" t="n">
        <f aca="false">H$5</f>
        <v>2026</v>
      </c>
      <c r="I207" s="31" t="n">
        <f aca="false">I$5</f>
        <v>2027</v>
      </c>
      <c r="J207" s="31" t="n">
        <f aca="false">J$5</f>
        <v>2028</v>
      </c>
      <c r="K207" s="31" t="n">
        <f aca="false">K$5</f>
        <v>2029</v>
      </c>
      <c r="L207" s="31" t="n">
        <f aca="false">L$5</f>
        <v>2030</v>
      </c>
      <c r="M207" s="1"/>
    </row>
    <row r="208" customFormat="false" ht="15" hidden="false" customHeight="false" outlineLevel="1" collapsed="false">
      <c r="A208" s="1"/>
      <c r="B208" s="33" t="s">
        <v>302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customFormat="false" ht="15" hidden="false" customHeight="false" outlineLevel="1" collapsed="false">
      <c r="A209" s="1"/>
      <c r="B209" s="34" t="s">
        <v>292</v>
      </c>
      <c r="C209" s="1"/>
      <c r="D209" s="45"/>
      <c r="E209" s="45" t="n">
        <f aca="false">D211</f>
        <v>2811.779</v>
      </c>
      <c r="F209" s="45" t="n">
        <f aca="false">E211</f>
        <v>2477.186</v>
      </c>
      <c r="G209" s="45" t="n">
        <f aca="false">F211</f>
        <v>3351.888</v>
      </c>
      <c r="H209" s="45" t="n">
        <f aca="false">G211</f>
        <v>3351.888</v>
      </c>
      <c r="I209" s="45" t="n">
        <f aca="false">H211</f>
        <v>3351.888</v>
      </c>
      <c r="J209" s="45" t="n">
        <f aca="false">I211</f>
        <v>3351.888</v>
      </c>
      <c r="K209" s="45" t="n">
        <f aca="false">J211</f>
        <v>3351.888</v>
      </c>
      <c r="L209" s="45" t="n">
        <f aca="false">K211</f>
        <v>3351.888</v>
      </c>
      <c r="M209" s="1"/>
    </row>
    <row r="210" customFormat="false" ht="15" hidden="false" customHeight="false" outlineLevel="1" collapsed="false">
      <c r="A210" s="1"/>
      <c r="B210" s="34" t="s">
        <v>303</v>
      </c>
      <c r="C210" s="1"/>
      <c r="D210" s="45"/>
      <c r="E210" s="45" t="n">
        <f aca="false">E211-E209</f>
        <v>-334.593</v>
      </c>
      <c r="F210" s="45" t="n">
        <f aca="false">F211-F209</f>
        <v>874.702</v>
      </c>
      <c r="G210" s="45" t="n">
        <f aca="false">Inputs!G42</f>
        <v>0</v>
      </c>
      <c r="H210" s="45" t="n">
        <f aca="false">Inputs!H42</f>
        <v>0</v>
      </c>
      <c r="I210" s="45" t="n">
        <f aca="false">Inputs!I42</f>
        <v>0</v>
      </c>
      <c r="J210" s="45" t="n">
        <f aca="false">Inputs!J42</f>
        <v>0</v>
      </c>
      <c r="K210" s="45" t="n">
        <f aca="false">Inputs!K42</f>
        <v>0</v>
      </c>
      <c r="L210" s="45" t="n">
        <f aca="false">Inputs!L42</f>
        <v>0</v>
      </c>
      <c r="M210" s="1"/>
    </row>
    <row r="211" customFormat="false" ht="15" hidden="false" customHeight="false" outlineLevel="1" collapsed="false">
      <c r="A211" s="1"/>
      <c r="B211" s="46" t="s">
        <v>294</v>
      </c>
      <c r="C211" s="47"/>
      <c r="D211" s="48" t="n">
        <f aca="false">D77</f>
        <v>2811.779</v>
      </c>
      <c r="E211" s="48" t="n">
        <f aca="false">E77</f>
        <v>2477.186</v>
      </c>
      <c r="F211" s="48" t="n">
        <f aca="false">F77</f>
        <v>3351.888</v>
      </c>
      <c r="G211" s="48" t="n">
        <f aca="false">G209+G210</f>
        <v>3351.888</v>
      </c>
      <c r="H211" s="48" t="n">
        <f aca="false">H209+H210</f>
        <v>3351.888</v>
      </c>
      <c r="I211" s="48" t="n">
        <f aca="false">I209+I210</f>
        <v>3351.888</v>
      </c>
      <c r="J211" s="48" t="n">
        <f aca="false">J209+J210</f>
        <v>3351.888</v>
      </c>
      <c r="K211" s="48" t="n">
        <f aca="false">K209+K210</f>
        <v>3351.888</v>
      </c>
      <c r="L211" s="48" t="n">
        <f aca="false">L209+L210</f>
        <v>3351.888</v>
      </c>
      <c r="M211" s="1"/>
    </row>
    <row r="212" customFormat="false" ht="15" hidden="false" customHeight="false" outlineLevel="1" collapsed="false">
      <c r="A212" s="1"/>
      <c r="B212" s="34" t="s">
        <v>304</v>
      </c>
      <c r="C212" s="1"/>
      <c r="D212" s="53"/>
      <c r="E212" s="53" t="n">
        <f aca="false">E213/E209</f>
        <v>0.0523988549597959</v>
      </c>
      <c r="F212" s="53" t="n">
        <f aca="false">F213/F209</f>
        <v>0.0588954563767113</v>
      </c>
      <c r="G212" s="53" t="n">
        <f aca="false">Inputs!G43</f>
        <v>0.044</v>
      </c>
      <c r="H212" s="53" t="n">
        <f aca="false">Inputs!H43</f>
        <v>0.044</v>
      </c>
      <c r="I212" s="53" t="n">
        <f aca="false">Inputs!I43</f>
        <v>0.044</v>
      </c>
      <c r="J212" s="53" t="n">
        <f aca="false">Inputs!J43</f>
        <v>0.044</v>
      </c>
      <c r="K212" s="53" t="n">
        <f aca="false">Inputs!K43</f>
        <v>0.044</v>
      </c>
      <c r="L212" s="53" t="n">
        <f aca="false">Inputs!L43</f>
        <v>0.044</v>
      </c>
      <c r="M212" s="1"/>
    </row>
    <row r="213" customFormat="false" ht="15" hidden="false" customHeight="false" outlineLevel="1" collapsed="false">
      <c r="A213" s="1"/>
      <c r="B213" s="34" t="s">
        <v>169</v>
      </c>
      <c r="C213" s="1"/>
      <c r="D213" s="45" t="n">
        <f aca="false">-D15</f>
        <v>133.474</v>
      </c>
      <c r="E213" s="45" t="n">
        <f aca="false">-E15</f>
        <v>147.334</v>
      </c>
      <c r="F213" s="45" t="n">
        <f aca="false">-F15</f>
        <v>145.895</v>
      </c>
      <c r="G213" s="45" t="n">
        <f aca="false">G209*G212</f>
        <v>147.483072</v>
      </c>
      <c r="H213" s="45" t="n">
        <f aca="false">H209*H212</f>
        <v>147.483072</v>
      </c>
      <c r="I213" s="45" t="n">
        <f aca="false">I209*I212</f>
        <v>147.483072</v>
      </c>
      <c r="J213" s="45" t="n">
        <f aca="false">J209*J212</f>
        <v>147.483072</v>
      </c>
      <c r="K213" s="45" t="n">
        <f aca="false">K209*K212</f>
        <v>147.483072</v>
      </c>
      <c r="L213" s="45" t="n">
        <f aca="false">L209*L212</f>
        <v>147.483072</v>
      </c>
      <c r="M213" s="1"/>
    </row>
    <row r="214" customFormat="false" ht="15" hidden="false" customHeight="false" outlineLevel="1" collapsed="false">
      <c r="A214" s="1"/>
      <c r="B214" s="33" t="s">
        <v>305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customFormat="false" ht="15" hidden="false" customHeight="false" outlineLevel="1" collapsed="false">
      <c r="A215" s="1"/>
      <c r="B215" s="34" t="s">
        <v>306</v>
      </c>
      <c r="C215" s="1"/>
      <c r="D215" s="45" t="n">
        <f aca="false">D113</f>
        <v>1344.146</v>
      </c>
      <c r="E215" s="45" t="n">
        <f aca="false">E113</f>
        <v>1388.901</v>
      </c>
      <c r="F215" s="45" t="n">
        <f aca="false">F113</f>
        <v>1121.981</v>
      </c>
      <c r="G215" s="45" t="n">
        <f aca="false">G113</f>
        <v>1742.214</v>
      </c>
      <c r="H215" s="45" t="n">
        <f aca="false">H113</f>
        <v>2060.41434808384</v>
      </c>
      <c r="I215" s="45" t="n">
        <f aca="false">I113</f>
        <v>2251.16672413634</v>
      </c>
      <c r="J215" s="45" t="n">
        <f aca="false">J113</f>
        <v>2406.1335261627</v>
      </c>
      <c r="K215" s="45" t="n">
        <f aca="false">K113</f>
        <v>2608.56695177674</v>
      </c>
      <c r="L215" s="45" t="n">
        <f aca="false">L113</f>
        <v>2864.55053978145</v>
      </c>
      <c r="M215" s="1"/>
    </row>
    <row r="216" customFormat="false" ht="15" hidden="false" customHeight="false" outlineLevel="1" collapsed="false">
      <c r="A216" s="1"/>
      <c r="B216" s="34" t="s">
        <v>307</v>
      </c>
      <c r="C216" s="1"/>
      <c r="D216" s="53" t="n">
        <f aca="false">D217/D215</f>
        <v>0.0623875680171648</v>
      </c>
      <c r="E216" s="53" t="n">
        <f aca="false">E217/E215</f>
        <v>0.0952688492556345</v>
      </c>
      <c r="F216" s="53" t="n">
        <f aca="false">F217/F215</f>
        <v>0.131107389519074</v>
      </c>
      <c r="G216" s="53" t="n">
        <f aca="false">Inputs!G44</f>
        <v>0.02</v>
      </c>
      <c r="H216" s="53" t="n">
        <f aca="false">Inputs!H44</f>
        <v>0.02</v>
      </c>
      <c r="I216" s="53" t="n">
        <f aca="false">Inputs!I44</f>
        <v>0.02</v>
      </c>
      <c r="J216" s="53" t="n">
        <f aca="false">Inputs!J44</f>
        <v>0.02</v>
      </c>
      <c r="K216" s="53" t="n">
        <f aca="false">Inputs!K44</f>
        <v>0.02</v>
      </c>
      <c r="L216" s="53" t="n">
        <f aca="false">Inputs!L44</f>
        <v>0.02</v>
      </c>
      <c r="M216" s="1"/>
    </row>
    <row r="217" customFormat="false" ht="15" hidden="false" customHeight="false" outlineLevel="1" collapsed="false">
      <c r="A217" s="1"/>
      <c r="B217" s="34" t="s">
        <v>168</v>
      </c>
      <c r="C217" s="1"/>
      <c r="D217" s="45" t="n">
        <f aca="false">D14</f>
        <v>83.858</v>
      </c>
      <c r="E217" s="45" t="n">
        <f aca="false">E14</f>
        <v>132.319</v>
      </c>
      <c r="F217" s="45" t="n">
        <f aca="false">F14</f>
        <v>147.1</v>
      </c>
      <c r="G217" s="45" t="n">
        <f aca="false">G215*G216</f>
        <v>34.84428</v>
      </c>
      <c r="H217" s="45" t="n">
        <f aca="false">H215*H216</f>
        <v>41.2082869616769</v>
      </c>
      <c r="I217" s="45" t="n">
        <f aca="false">I215*I216</f>
        <v>45.0233344827267</v>
      </c>
      <c r="J217" s="45" t="n">
        <f aca="false">J215*J216</f>
        <v>48.122670523254</v>
      </c>
      <c r="K217" s="45" t="n">
        <f aca="false">K215*K216</f>
        <v>52.1713390355348</v>
      </c>
      <c r="L217" s="45" t="n">
        <f aca="false">L215*L216</f>
        <v>57.2910107956289</v>
      </c>
      <c r="M217" s="1"/>
    </row>
    <row r="218" customFormat="false" ht="15" hidden="false" customHeight="false" outlineLevel="1" collapsed="false">
      <c r="A218" s="1"/>
      <c r="B218" s="33" t="s">
        <v>308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customFormat="false" ht="15" hidden="false" customHeight="false" outlineLevel="1" collapsed="false">
      <c r="A219" s="1"/>
      <c r="B219" s="34" t="s">
        <v>292</v>
      </c>
      <c r="C219" s="1"/>
      <c r="D219" s="45"/>
      <c r="E219" s="45" t="n">
        <f aca="false">D224</f>
        <v>2592.857</v>
      </c>
      <c r="F219" s="45" t="n">
        <f aca="false">E224</f>
        <v>3060.888</v>
      </c>
      <c r="G219" s="45" t="n">
        <f aca="false">F224</f>
        <v>3533.946</v>
      </c>
      <c r="H219" s="45" t="n">
        <f aca="false">G224</f>
        <v>4044.68652959475</v>
      </c>
      <c r="I219" s="45" t="n">
        <f aca="false">H224</f>
        <v>4445.00725238689</v>
      </c>
      <c r="J219" s="45" t="n">
        <f aca="false">I224</f>
        <v>4829.55381972601</v>
      </c>
      <c r="K219" s="45" t="n">
        <f aca="false">J224</f>
        <v>5279.12350322498</v>
      </c>
      <c r="L219" s="45" t="n">
        <f aca="false">K224</f>
        <v>5798.27586606751</v>
      </c>
      <c r="M219" s="1"/>
    </row>
    <row r="220" customFormat="false" ht="15" hidden="false" customHeight="false" outlineLevel="1" collapsed="false">
      <c r="A220" s="1"/>
      <c r="B220" s="34" t="s">
        <v>309</v>
      </c>
      <c r="C220" s="1"/>
      <c r="D220" s="45"/>
      <c r="E220" s="45" t="n">
        <f aca="false">E20</f>
        <v>1252.048</v>
      </c>
      <c r="F220" s="45" t="n">
        <f aca="false">F20</f>
        <v>1521.877</v>
      </c>
      <c r="G220" s="45" t="n">
        <f aca="false">G20</f>
        <v>1543.39747959475</v>
      </c>
      <c r="H220" s="45" t="n">
        <f aca="false">H20</f>
        <v>1640.5098406503</v>
      </c>
      <c r="I220" s="45" t="n">
        <f aca="false">I20</f>
        <v>1740.75050359924</v>
      </c>
      <c r="J220" s="45" t="n">
        <f aca="false">J20</f>
        <v>1845.86988493867</v>
      </c>
      <c r="K220" s="45" t="n">
        <f aca="false">K20</f>
        <v>1957.500316818</v>
      </c>
      <c r="L220" s="45" t="n">
        <f aca="false">L20</f>
        <v>2076.06010944154</v>
      </c>
      <c r="M220" s="1"/>
    </row>
    <row r="221" customFormat="false" ht="15" hidden="false" customHeight="false" outlineLevel="1" collapsed="false">
      <c r="A221" s="1"/>
      <c r="B221" s="34" t="s">
        <v>310</v>
      </c>
      <c r="C221" s="1"/>
      <c r="D221" s="45" t="n">
        <f aca="false">D107</f>
        <v>-249.522</v>
      </c>
      <c r="E221" s="45" t="n">
        <f aca="false">E107</f>
        <v>-328.631</v>
      </c>
      <c r="F221" s="45" t="n">
        <f aca="false">F107</f>
        <v>-439.918</v>
      </c>
      <c r="G221" s="45" t="n">
        <f aca="false">-F20*G225</f>
        <v>-532.65695</v>
      </c>
      <c r="H221" s="45" t="n">
        <f aca="false">-G20*H225</f>
        <v>-540.189117858163</v>
      </c>
      <c r="I221" s="45" t="n">
        <f aca="false">-H20*I225</f>
        <v>-656.203936260119</v>
      </c>
      <c r="J221" s="45" t="n">
        <f aca="false">-I20*J225</f>
        <v>-696.300201439697</v>
      </c>
      <c r="K221" s="45" t="n">
        <f aca="false">-J20*K225</f>
        <v>-738.347953975467</v>
      </c>
      <c r="L221" s="45" t="n">
        <f aca="false">-K20*L225</f>
        <v>-783.000126727201</v>
      </c>
      <c r="M221" s="1"/>
    </row>
    <row r="222" customFormat="false" ht="15" hidden="false" customHeight="false" outlineLevel="1" collapsed="false">
      <c r="A222" s="1"/>
      <c r="B222" s="34" t="s">
        <v>125</v>
      </c>
      <c r="C222" s="1"/>
      <c r="D222" s="45" t="n">
        <f aca="false">D109</f>
        <v>-396.522</v>
      </c>
      <c r="E222" s="45" t="n">
        <f aca="false">E109</f>
        <v>-460.629</v>
      </c>
      <c r="F222" s="45" t="n">
        <f aca="false">F109</f>
        <v>-581.084</v>
      </c>
      <c r="G222" s="45" t="n">
        <f aca="false">-Inputs!G46</f>
        <v>-500</v>
      </c>
      <c r="H222" s="45" t="n">
        <f aca="false">-Inputs!H46</f>
        <v>-700</v>
      </c>
      <c r="I222" s="45" t="n">
        <f aca="false">-Inputs!I46</f>
        <v>-700</v>
      </c>
      <c r="J222" s="45" t="n">
        <f aca="false">-Inputs!J46</f>
        <v>-700</v>
      </c>
      <c r="K222" s="45" t="n">
        <f aca="false">-Inputs!K46</f>
        <v>-700</v>
      </c>
      <c r="L222" s="45" t="n">
        <f aca="false">-Inputs!L46</f>
        <v>-700</v>
      </c>
      <c r="M222" s="1"/>
    </row>
    <row r="223" customFormat="false" ht="15" hidden="false" customHeight="false" outlineLevel="1" collapsed="false">
      <c r="A223" s="1"/>
      <c r="B223" s="34" t="s">
        <v>311</v>
      </c>
      <c r="C223" s="1"/>
      <c r="D223" s="45"/>
      <c r="E223" s="45" t="n">
        <f aca="false">E224-SUM(E219:E222)</f>
        <v>5.24299999999994</v>
      </c>
      <c r="F223" s="45" t="n">
        <f aca="false">F224-SUM(F219:F222)</f>
        <v>-27.817</v>
      </c>
      <c r="G223" s="45" t="n">
        <v>0</v>
      </c>
      <c r="H223" s="45" t="n">
        <v>0</v>
      </c>
      <c r="I223" s="45" t="n">
        <v>0</v>
      </c>
      <c r="J223" s="45" t="n">
        <v>0</v>
      </c>
      <c r="K223" s="45" t="n">
        <v>0</v>
      </c>
      <c r="L223" s="45" t="n">
        <v>0</v>
      </c>
      <c r="M223" s="1"/>
    </row>
    <row r="224" customFormat="false" ht="15" hidden="false" customHeight="false" outlineLevel="1" collapsed="false">
      <c r="A224" s="1"/>
      <c r="B224" s="46" t="s">
        <v>294</v>
      </c>
      <c r="C224" s="47"/>
      <c r="D224" s="48" t="n">
        <f aca="false">D71</f>
        <v>2592.857</v>
      </c>
      <c r="E224" s="48" t="n">
        <f aca="false">E71</f>
        <v>3060.888</v>
      </c>
      <c r="F224" s="48" t="n">
        <f aca="false">F71</f>
        <v>3533.946</v>
      </c>
      <c r="G224" s="48" t="n">
        <f aca="false">SUM(G219:G223)</f>
        <v>4044.68652959475</v>
      </c>
      <c r="H224" s="48" t="n">
        <f aca="false">SUM(H219:H223)</f>
        <v>4445.00725238689</v>
      </c>
      <c r="I224" s="48" t="n">
        <f aca="false">SUM(I219:I223)</f>
        <v>4829.55381972601</v>
      </c>
      <c r="J224" s="48" t="n">
        <f aca="false">SUM(J219:J223)</f>
        <v>5279.12350322498</v>
      </c>
      <c r="K224" s="48" t="n">
        <f aca="false">SUM(K219:K223)</f>
        <v>5798.27586606751</v>
      </c>
      <c r="L224" s="48" t="n">
        <f aca="false">SUM(L219:L223)</f>
        <v>6391.33584878185</v>
      </c>
      <c r="M224" s="1"/>
    </row>
    <row r="225" customFormat="false" ht="15" hidden="false" customHeight="false" outlineLevel="1" collapsed="false">
      <c r="A225" s="1"/>
      <c r="B225" s="34" t="s">
        <v>312</v>
      </c>
      <c r="C225" s="1"/>
      <c r="D225" s="53"/>
      <c r="E225" s="53" t="n">
        <f aca="false">-E221/D20</f>
        <v>0.352376224247116</v>
      </c>
      <c r="F225" s="53" t="n">
        <f aca="false">-F221/E20</f>
        <v>0.351358733850459</v>
      </c>
      <c r="G225" s="53" t="n">
        <f aca="false">Inputs!G45</f>
        <v>0.35</v>
      </c>
      <c r="H225" s="53" t="n">
        <f aca="false">Inputs!H45</f>
        <v>0.35</v>
      </c>
      <c r="I225" s="53" t="n">
        <f aca="false">Inputs!I45</f>
        <v>0.4</v>
      </c>
      <c r="J225" s="53" t="n">
        <f aca="false">Inputs!J45</f>
        <v>0.4</v>
      </c>
      <c r="K225" s="53" t="n">
        <f aca="false">Inputs!K45</f>
        <v>0.4</v>
      </c>
      <c r="L225" s="53" t="n">
        <f aca="false">Inputs!L45</f>
        <v>0.4</v>
      </c>
      <c r="M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customFormat="false" ht="21" hidden="false" customHeight="true" outlineLevel="0" collapsed="false">
      <c r="A227" s="1"/>
      <c r="B227" s="26" t="s">
        <v>24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"/>
    </row>
    <row r="228" customFormat="false" ht="15" hidden="false" customHeight="false" outlineLevel="1" collapsed="false">
      <c r="A228" s="1"/>
      <c r="B228" s="27" t="s">
        <v>49</v>
      </c>
      <c r="C228" s="1"/>
      <c r="D228" s="1"/>
      <c r="E228" s="1"/>
      <c r="F228" s="63"/>
      <c r="G228" s="28"/>
      <c r="H228" s="28"/>
      <c r="I228" s="28"/>
      <c r="J228" s="28"/>
      <c r="K228" s="28"/>
      <c r="L228" s="29" t="s">
        <v>50</v>
      </c>
      <c r="M228" s="1"/>
    </row>
    <row r="229" customFormat="false" ht="15" hidden="false" customHeight="false" outlineLevel="1" collapsed="false">
      <c r="A229" s="1"/>
      <c r="B229" s="1"/>
      <c r="C229" s="1"/>
      <c r="D229" s="1"/>
      <c r="E229" s="1"/>
      <c r="F229" s="30" t="s">
        <v>313</v>
      </c>
      <c r="G229" s="31" t="n">
        <f aca="false">G$5</f>
        <v>2025</v>
      </c>
      <c r="H229" s="31" t="n">
        <f aca="false">H$5</f>
        <v>2026</v>
      </c>
      <c r="I229" s="31" t="n">
        <f aca="false">I$5</f>
        <v>2027</v>
      </c>
      <c r="J229" s="31" t="n">
        <f aca="false">J$5</f>
        <v>2028</v>
      </c>
      <c r="K229" s="31" t="n">
        <f aca="false">K$5</f>
        <v>2029</v>
      </c>
      <c r="L229" s="31" t="n">
        <f aca="false">L$5</f>
        <v>2030</v>
      </c>
      <c r="M229" s="1"/>
    </row>
    <row r="230" customFormat="false" ht="15" hidden="false" customHeight="false" outlineLevel="1" collapsed="false">
      <c r="A230" s="1"/>
      <c r="B230" s="33" t="s">
        <v>314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customFormat="false" ht="15" hidden="false" customHeight="false" outlineLevel="1" collapsed="false">
      <c r="A231" s="1"/>
      <c r="B231" s="34" t="s">
        <v>315</v>
      </c>
      <c r="C231" s="1"/>
      <c r="D231" s="45"/>
      <c r="E231" s="45"/>
      <c r="F231" s="64" t="n">
        <f aca="false">SUM(G231:L231)</f>
        <v>1425</v>
      </c>
      <c r="G231" s="45" t="n">
        <f aca="false">Inputs!G53</f>
        <v>237.5</v>
      </c>
      <c r="H231" s="45" t="n">
        <f aca="false">Inputs!H53</f>
        <v>437.5</v>
      </c>
      <c r="I231" s="45" t="n">
        <f aca="false">Inputs!I53</f>
        <v>437.5</v>
      </c>
      <c r="J231" s="45" t="n">
        <f aca="false">Inputs!J53</f>
        <v>312.5</v>
      </c>
      <c r="K231" s="45" t="n">
        <f aca="false">Inputs!K53</f>
        <v>0</v>
      </c>
      <c r="L231" s="45" t="n">
        <f aca="false">Inputs!L53</f>
        <v>0</v>
      </c>
      <c r="M231" s="1"/>
    </row>
    <row r="232" customFormat="false" ht="15" hidden="false" customHeight="false" outlineLevel="1" collapsed="false">
      <c r="A232" s="1"/>
      <c r="B232" s="52" t="s">
        <v>316</v>
      </c>
      <c r="C232" s="1"/>
      <c r="D232" s="45"/>
      <c r="E232" s="45"/>
      <c r="F232" s="64" t="n">
        <f aca="false">SUM(G232:L232)</f>
        <v>1100</v>
      </c>
      <c r="G232" s="45" t="n">
        <f aca="false">Inputs!G54</f>
        <v>0</v>
      </c>
      <c r="H232" s="45" t="n">
        <f aca="false">Inputs!H54</f>
        <v>350</v>
      </c>
      <c r="I232" s="45" t="n">
        <f aca="false">Inputs!I54</f>
        <v>437.5</v>
      </c>
      <c r="J232" s="45" t="n">
        <f aca="false">Inputs!J54</f>
        <v>312.5</v>
      </c>
      <c r="K232" s="45" t="n">
        <f aca="false">Inputs!K54</f>
        <v>0</v>
      </c>
      <c r="L232" s="45" t="n">
        <f aca="false">Inputs!L54</f>
        <v>0</v>
      </c>
      <c r="M232" s="1"/>
    </row>
    <row r="233" customFormat="false" ht="15" hidden="false" customHeight="false" outlineLevel="1" collapsed="false">
      <c r="A233" s="1"/>
      <c r="B233" s="52" t="s">
        <v>317</v>
      </c>
      <c r="C233" s="1"/>
      <c r="D233" s="45"/>
      <c r="E233" s="45"/>
      <c r="F233" s="64" t="n">
        <f aca="false">SUM(G233:L233)</f>
        <v>325</v>
      </c>
      <c r="G233" s="45" t="n">
        <f aca="false">G231-G232</f>
        <v>237.5</v>
      </c>
      <c r="H233" s="45" t="n">
        <f aca="false">H231-H232</f>
        <v>87.5</v>
      </c>
      <c r="I233" s="45" t="n">
        <f aca="false">I231-I232</f>
        <v>0</v>
      </c>
      <c r="J233" s="45" t="n">
        <f aca="false">J231-J232</f>
        <v>0</v>
      </c>
      <c r="K233" s="45" t="n">
        <f aca="false">K231-K232</f>
        <v>0</v>
      </c>
      <c r="L233" s="45" t="n">
        <f aca="false">L231-L232</f>
        <v>0</v>
      </c>
      <c r="M233" s="1"/>
    </row>
    <row r="234" customFormat="false" ht="15" hidden="false" customHeight="false" outlineLevel="1" collapsed="false">
      <c r="A234" s="1"/>
      <c r="B234" s="33" t="s">
        <v>318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customFormat="false" ht="15" hidden="false" customHeight="false" outlineLevel="1" collapsed="false">
      <c r="A235" s="1"/>
      <c r="B235" s="34" t="s">
        <v>319</v>
      </c>
      <c r="C235" s="1"/>
      <c r="D235" s="53"/>
      <c r="E235" s="53"/>
      <c r="F235" s="65" t="n">
        <f aca="false">SUM(G235:L235)</f>
        <v>1</v>
      </c>
      <c r="G235" s="53" t="n">
        <f aca="false">Inputs!G55</f>
        <v>0</v>
      </c>
      <c r="H235" s="53" t="n">
        <f aca="false">Inputs!H55</f>
        <v>0</v>
      </c>
      <c r="I235" s="53" t="n">
        <f aca="false">Inputs!I55</f>
        <v>0</v>
      </c>
      <c r="J235" s="53" t="n">
        <f aca="false">Inputs!J55</f>
        <v>0</v>
      </c>
      <c r="K235" s="53" t="n">
        <f aca="false">Inputs!K55</f>
        <v>0.6</v>
      </c>
      <c r="L235" s="53" t="n">
        <f aca="false">Inputs!L55</f>
        <v>0.4</v>
      </c>
      <c r="M235" s="1"/>
    </row>
    <row r="236" customFormat="false" ht="15" hidden="false" customHeight="false" outlineLevel="1" collapsed="false">
      <c r="A236" s="1"/>
      <c r="B236" s="34" t="s">
        <v>320</v>
      </c>
      <c r="C236" s="1"/>
      <c r="D236" s="45"/>
      <c r="E236" s="45"/>
      <c r="F236" s="64" t="n">
        <f aca="false">SUM(G236:L236)</f>
        <v>90000</v>
      </c>
      <c r="G236" s="45" t="n">
        <f aca="false">Inputs!$F$49*G235</f>
        <v>0</v>
      </c>
      <c r="H236" s="45" t="n">
        <f aca="false">Inputs!$F$49*H235</f>
        <v>0</v>
      </c>
      <c r="I236" s="45" t="n">
        <f aca="false">Inputs!$F$49*I235</f>
        <v>0</v>
      </c>
      <c r="J236" s="45" t="n">
        <f aca="false">Inputs!$F$49*J235</f>
        <v>0</v>
      </c>
      <c r="K236" s="45" t="n">
        <f aca="false">Inputs!$F$49*K235</f>
        <v>54000</v>
      </c>
      <c r="L236" s="45" t="n">
        <f aca="false">Inputs!$F$49*L235</f>
        <v>36000</v>
      </c>
      <c r="M236" s="1"/>
    </row>
    <row r="237" customFormat="false" ht="15" hidden="false" customHeight="false" outlineLevel="1" collapsed="false">
      <c r="A237" s="1"/>
      <c r="B237" s="34" t="s">
        <v>321</v>
      </c>
      <c r="C237" s="1"/>
      <c r="D237" s="45"/>
      <c r="E237" s="45"/>
      <c r="F237" s="45"/>
      <c r="G237" s="45" t="n">
        <f aca="false">Inputs!$F$51</f>
        <v>20000</v>
      </c>
      <c r="H237" s="45" t="n">
        <f aca="false">Inputs!$F$51</f>
        <v>20000</v>
      </c>
      <c r="I237" s="45" t="n">
        <f aca="false">Inputs!$F$51</f>
        <v>20000</v>
      </c>
      <c r="J237" s="45" t="n">
        <f aca="false">Inputs!$F$51</f>
        <v>20000</v>
      </c>
      <c r="K237" s="45" t="n">
        <f aca="false">Inputs!$F$51</f>
        <v>20000</v>
      </c>
      <c r="L237" s="45" t="n">
        <f aca="false">Inputs!$F$51</f>
        <v>20000</v>
      </c>
      <c r="M237" s="1"/>
    </row>
    <row r="238" customFormat="false" ht="15" hidden="false" customHeight="false" outlineLevel="1" collapsed="false">
      <c r="A238" s="1"/>
      <c r="B238" s="34" t="s">
        <v>322</v>
      </c>
      <c r="C238" s="1"/>
      <c r="D238" s="45"/>
      <c r="E238" s="45"/>
      <c r="F238" s="64" t="n">
        <f aca="false">SUM(G238:L238)</f>
        <v>1800</v>
      </c>
      <c r="G238" s="45" t="n">
        <f aca="false">G236*G237/1000000</f>
        <v>0</v>
      </c>
      <c r="H238" s="45" t="n">
        <f aca="false">H236*H237/1000000</f>
        <v>0</v>
      </c>
      <c r="I238" s="45" t="n">
        <f aca="false">I236*I237/1000000</f>
        <v>0</v>
      </c>
      <c r="J238" s="45" t="n">
        <f aca="false">J236*J237/1000000</f>
        <v>0</v>
      </c>
      <c r="K238" s="45" t="n">
        <f aca="false">K236*K237/1000000</f>
        <v>1080</v>
      </c>
      <c r="L238" s="45" t="n">
        <f aca="false">L236*L237/1000000</f>
        <v>720</v>
      </c>
      <c r="M238" s="1"/>
    </row>
    <row r="239" customFormat="false" ht="15" hidden="false" customHeight="false" outlineLevel="1" collapsed="false">
      <c r="A239" s="1"/>
      <c r="B239" s="34" t="s">
        <v>323</v>
      </c>
      <c r="C239" s="1"/>
      <c r="D239" s="45"/>
      <c r="E239" s="45"/>
      <c r="F239" s="64" t="n">
        <f aca="false">SUM(G239:L239)</f>
        <v>-1425</v>
      </c>
      <c r="G239" s="45" t="n">
        <f aca="false">-$F$231*G235</f>
        <v>-0</v>
      </c>
      <c r="H239" s="45" t="n">
        <f aca="false">-$F$231*H235</f>
        <v>-0</v>
      </c>
      <c r="I239" s="45" t="n">
        <f aca="false">-$F$231*I235</f>
        <v>-0</v>
      </c>
      <c r="J239" s="45" t="n">
        <f aca="false">-$F$231*J235</f>
        <v>-0</v>
      </c>
      <c r="K239" s="45" t="n">
        <f aca="false">-$F$231*K235</f>
        <v>-855</v>
      </c>
      <c r="L239" s="45" t="n">
        <f aca="false">-$F$231*L235</f>
        <v>-570</v>
      </c>
      <c r="M239" s="1"/>
    </row>
    <row r="240" customFormat="false" ht="15" hidden="false" customHeight="false" outlineLevel="1" collapsed="false">
      <c r="A240" s="1"/>
      <c r="B240" s="46" t="s">
        <v>324</v>
      </c>
      <c r="C240" s="47"/>
      <c r="D240" s="48"/>
      <c r="E240" s="48"/>
      <c r="F240" s="48" t="n">
        <f aca="false">SUM(G240:L240)</f>
        <v>375</v>
      </c>
      <c r="G240" s="48" t="n">
        <f aca="false">G238+G239</f>
        <v>0</v>
      </c>
      <c r="H240" s="48" t="n">
        <f aca="false">H238+H239</f>
        <v>0</v>
      </c>
      <c r="I240" s="48" t="n">
        <f aca="false">I238+I239</f>
        <v>0</v>
      </c>
      <c r="J240" s="48" t="n">
        <f aca="false">J238+J239</f>
        <v>0</v>
      </c>
      <c r="K240" s="48" t="n">
        <f aca="false">K238+K239</f>
        <v>225</v>
      </c>
      <c r="L240" s="48" t="n">
        <f aca="false">L238+L239</f>
        <v>150</v>
      </c>
      <c r="M240" s="1"/>
    </row>
    <row r="241" customFormat="false" ht="15" hidden="false" customHeight="false" outlineLevel="1" collapsed="false">
      <c r="A241" s="1"/>
      <c r="B241" s="34" t="s">
        <v>325</v>
      </c>
      <c r="C241" s="1"/>
      <c r="D241" s="53"/>
      <c r="E241" s="53"/>
      <c r="F241" s="65" t="n">
        <f aca="false">F240/F238</f>
        <v>0.208333333333333</v>
      </c>
      <c r="G241" s="53" t="n">
        <f aca="false">IFERROR(G240/G238,0)</f>
        <v>0</v>
      </c>
      <c r="H241" s="53" t="n">
        <f aca="false">IFERROR(H240/H238,0)</f>
        <v>0</v>
      </c>
      <c r="I241" s="53" t="n">
        <f aca="false">IFERROR(I240/I238,0)</f>
        <v>0</v>
      </c>
      <c r="J241" s="53" t="n">
        <f aca="false">IFERROR(J240/J238,0)</f>
        <v>0</v>
      </c>
      <c r="K241" s="53" t="n">
        <f aca="false">IFERROR(K240/K238,0)</f>
        <v>0.208333333333333</v>
      </c>
      <c r="L241" s="53" t="n">
        <f aca="false">IFERROR(L240/L238,0)</f>
        <v>0.208333333333333</v>
      </c>
      <c r="M241" s="1"/>
    </row>
    <row r="242" customFormat="false" ht="15" hidden="false" customHeight="false" outlineLevel="1" collapsed="false">
      <c r="A242" s="1"/>
      <c r="B242" s="33" t="s">
        <v>326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customFormat="false" ht="15" hidden="false" customHeight="false" outlineLevel="1" collapsed="false">
      <c r="A243" s="1"/>
      <c r="B243" s="34" t="s">
        <v>292</v>
      </c>
      <c r="C243" s="1"/>
      <c r="D243" s="45"/>
      <c r="E243" s="45"/>
      <c r="F243" s="45"/>
      <c r="G243" s="45" t="n">
        <v>0</v>
      </c>
      <c r="H243" s="45" t="n">
        <f aca="false">G246</f>
        <v>237.5</v>
      </c>
      <c r="I243" s="45" t="n">
        <f aca="false">H246</f>
        <v>675</v>
      </c>
      <c r="J243" s="45" t="n">
        <f aca="false">I246</f>
        <v>1112.5</v>
      </c>
      <c r="K243" s="45" t="n">
        <f aca="false">J246</f>
        <v>1425</v>
      </c>
      <c r="L243" s="45" t="n">
        <f aca="false">K246</f>
        <v>570</v>
      </c>
      <c r="M243" s="1"/>
    </row>
    <row r="244" customFormat="false" ht="15" hidden="false" customHeight="false" outlineLevel="1" collapsed="false">
      <c r="A244" s="1"/>
      <c r="B244" s="34" t="s">
        <v>327</v>
      </c>
      <c r="C244" s="1"/>
      <c r="D244" s="45"/>
      <c r="E244" s="45"/>
      <c r="F244" s="45"/>
      <c r="G244" s="45" t="n">
        <f aca="false">G231</f>
        <v>237.5</v>
      </c>
      <c r="H244" s="45" t="n">
        <f aca="false">H231</f>
        <v>437.5</v>
      </c>
      <c r="I244" s="45" t="n">
        <f aca="false">I231</f>
        <v>437.5</v>
      </c>
      <c r="J244" s="45" t="n">
        <f aca="false">J231</f>
        <v>312.5</v>
      </c>
      <c r="K244" s="45" t="n">
        <f aca="false">K231</f>
        <v>0</v>
      </c>
      <c r="L244" s="45" t="n">
        <f aca="false">L231</f>
        <v>0</v>
      </c>
      <c r="M244" s="1"/>
    </row>
    <row r="245" customFormat="false" ht="15" hidden="false" customHeight="false" outlineLevel="1" collapsed="false">
      <c r="A245" s="1"/>
      <c r="B245" s="34" t="s">
        <v>328</v>
      </c>
      <c r="C245" s="1"/>
      <c r="D245" s="45"/>
      <c r="E245" s="45"/>
      <c r="F245" s="45"/>
      <c r="G245" s="45" t="n">
        <f aca="false">G239</f>
        <v>-0</v>
      </c>
      <c r="H245" s="45" t="n">
        <f aca="false">H239</f>
        <v>-0</v>
      </c>
      <c r="I245" s="45" t="n">
        <f aca="false">I239</f>
        <v>-0</v>
      </c>
      <c r="J245" s="45" t="n">
        <f aca="false">J239</f>
        <v>-0</v>
      </c>
      <c r="K245" s="45" t="n">
        <f aca="false">K239</f>
        <v>-855</v>
      </c>
      <c r="L245" s="45" t="n">
        <f aca="false">L239</f>
        <v>-570</v>
      </c>
      <c r="M245" s="1"/>
    </row>
    <row r="246" customFormat="false" ht="15" hidden="false" customHeight="false" outlineLevel="1" collapsed="false">
      <c r="A246" s="1"/>
      <c r="B246" s="46" t="s">
        <v>294</v>
      </c>
      <c r="C246" s="47"/>
      <c r="D246" s="48"/>
      <c r="E246" s="48"/>
      <c r="F246" s="48"/>
      <c r="G246" s="48" t="n">
        <f aca="false">SUM(G243:G245)</f>
        <v>237.5</v>
      </c>
      <c r="H246" s="48" t="n">
        <f aca="false">SUM(H243:H245)</f>
        <v>675</v>
      </c>
      <c r="I246" s="48" t="n">
        <f aca="false">SUM(I243:I245)</f>
        <v>1112.5</v>
      </c>
      <c r="J246" s="48" t="n">
        <f aca="false">SUM(J243:J245)</f>
        <v>1425</v>
      </c>
      <c r="K246" s="48" t="n">
        <f aca="false">SUM(K243:K245)</f>
        <v>570</v>
      </c>
      <c r="L246" s="48" t="n">
        <f aca="false">SUM(L243:L245)</f>
        <v>0</v>
      </c>
      <c r="M246" s="1"/>
    </row>
    <row r="247" customFormat="false" ht="15" hidden="false" customHeight="false" outlineLevel="1" collapsed="false">
      <c r="A247" s="1"/>
      <c r="B247" s="33" t="s">
        <v>329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customFormat="false" ht="15" hidden="false" customHeight="false" outlineLevel="1" collapsed="false">
      <c r="A248" s="1"/>
      <c r="B248" s="34" t="s">
        <v>330</v>
      </c>
      <c r="C248" s="1"/>
      <c r="D248" s="45"/>
      <c r="E248" s="45"/>
      <c r="F248" s="64" t="n">
        <f aca="false">SUM(G248:L248)</f>
        <v>375</v>
      </c>
      <c r="G248" s="45" t="n">
        <f aca="false">G240</f>
        <v>0</v>
      </c>
      <c r="H248" s="45" t="n">
        <f aca="false">H240</f>
        <v>0</v>
      </c>
      <c r="I248" s="45" t="n">
        <f aca="false">I240</f>
        <v>0</v>
      </c>
      <c r="J248" s="45" t="n">
        <f aca="false">J240</f>
        <v>0</v>
      </c>
      <c r="K248" s="45" t="n">
        <f aca="false">K240</f>
        <v>225</v>
      </c>
      <c r="L248" s="45" t="n">
        <f aca="false">L240</f>
        <v>150</v>
      </c>
      <c r="M248" s="1"/>
    </row>
    <row r="249" customFormat="false" ht="15" hidden="false" customHeight="false" outlineLevel="1" collapsed="false">
      <c r="A249" s="1"/>
      <c r="B249" s="34" t="s">
        <v>331</v>
      </c>
      <c r="C249" s="1"/>
      <c r="D249" s="45"/>
      <c r="E249" s="45"/>
      <c r="F249" s="64" t="n">
        <f aca="false">SUM(G249:L249)</f>
        <v>-154.0216007625</v>
      </c>
      <c r="G249" s="45" t="n">
        <f aca="false">-G291</f>
        <v>-0</v>
      </c>
      <c r="H249" s="45" t="n">
        <f aca="false">-H291</f>
        <v>-10.9375</v>
      </c>
      <c r="I249" s="45" t="n">
        <f aca="false">-I291</f>
        <v>-31.171875</v>
      </c>
      <c r="J249" s="45" t="n">
        <f aca="false">-J291</f>
        <v>-49.140625</v>
      </c>
      <c r="K249" s="45" t="n">
        <f aca="false">-K291</f>
        <v>-45.0477614375</v>
      </c>
      <c r="L249" s="45" t="n">
        <f aca="false">-L291</f>
        <v>-17.723839325</v>
      </c>
      <c r="M249" s="1"/>
    </row>
    <row r="250" customFormat="false" ht="15" hidden="false" customHeight="false" outlineLevel="1" collapsed="false">
      <c r="A250" s="1"/>
      <c r="B250" s="46" t="s">
        <v>332</v>
      </c>
      <c r="C250" s="47"/>
      <c r="D250" s="48"/>
      <c r="E250" s="48"/>
      <c r="F250" s="48" t="n">
        <f aca="false">SUM(G250:L250)</f>
        <v>220.9783992375</v>
      </c>
      <c r="G250" s="48" t="n">
        <f aca="false">G248+G249</f>
        <v>0</v>
      </c>
      <c r="H250" s="48" t="n">
        <f aca="false">H248+H249</f>
        <v>-10.9375</v>
      </c>
      <c r="I250" s="48" t="n">
        <f aca="false">I248+I249</f>
        <v>-31.171875</v>
      </c>
      <c r="J250" s="48" t="n">
        <f aca="false">J248+J249</f>
        <v>-49.140625</v>
      </c>
      <c r="K250" s="48" t="n">
        <f aca="false">K248+K249</f>
        <v>179.9522385625</v>
      </c>
      <c r="L250" s="48" t="n">
        <f aca="false">L248+L249</f>
        <v>132.276160675</v>
      </c>
      <c r="M250" s="1"/>
    </row>
    <row r="251" customFormat="false" ht="15" hidden="false" customHeight="false" outlineLevel="1" collapsed="false">
      <c r="A251" s="1"/>
      <c r="B251" s="34" t="s">
        <v>333</v>
      </c>
      <c r="C251" s="1"/>
      <c r="D251" s="45"/>
      <c r="E251" s="45"/>
      <c r="F251" s="64" t="n">
        <f aca="false">SUM(G251:L251)</f>
        <v>-55.9075350070875</v>
      </c>
      <c r="G251" s="45" t="n">
        <f aca="false">-G250*Inputs!$F$52</f>
        <v>-0</v>
      </c>
      <c r="H251" s="45" t="n">
        <f aca="false">-H250*Inputs!$F$52</f>
        <v>2.7671875</v>
      </c>
      <c r="I251" s="45" t="n">
        <f aca="false">-I250*Inputs!$F$52</f>
        <v>7.886484375</v>
      </c>
      <c r="J251" s="45" t="n">
        <f aca="false">-J250*Inputs!$F$52</f>
        <v>12.432578125</v>
      </c>
      <c r="K251" s="45" t="n">
        <f aca="false">-K250*Inputs!$F$52</f>
        <v>-45.5279163563125</v>
      </c>
      <c r="L251" s="45" t="n">
        <f aca="false">-L250*Inputs!$F$52</f>
        <v>-33.465868650775</v>
      </c>
      <c r="M251" s="1"/>
    </row>
    <row r="252" customFormat="false" ht="15" hidden="false" customHeight="false" outlineLevel="1" collapsed="false">
      <c r="A252" s="1"/>
      <c r="B252" s="49" t="s">
        <v>334</v>
      </c>
      <c r="C252" s="50"/>
      <c r="D252" s="51"/>
      <c r="E252" s="51"/>
      <c r="F252" s="51" t="n">
        <f aca="false">SUM(G252:L252)</f>
        <v>165.070864230413</v>
      </c>
      <c r="G252" s="51" t="n">
        <f aca="false">G250+G251</f>
        <v>0</v>
      </c>
      <c r="H252" s="51" t="n">
        <f aca="false">H250+H251</f>
        <v>-8.1703125</v>
      </c>
      <c r="I252" s="51" t="n">
        <f aca="false">I250+I251</f>
        <v>-23.285390625</v>
      </c>
      <c r="J252" s="51" t="n">
        <f aca="false">J250+J251</f>
        <v>-36.708046875</v>
      </c>
      <c r="K252" s="51" t="n">
        <f aca="false">K250+K251</f>
        <v>134.424322206188</v>
      </c>
      <c r="L252" s="51" t="n">
        <f aca="false">L250+L251</f>
        <v>98.810292024225</v>
      </c>
      <c r="M252" s="1"/>
    </row>
    <row r="253" customFormat="false" ht="15" hidden="false" customHeight="false" outlineLevel="1" collapsed="false">
      <c r="A253" s="1"/>
      <c r="B253" s="33" t="s">
        <v>335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customFormat="false" ht="15" hidden="false" customHeight="false" outlineLevel="1" collapsed="false">
      <c r="A254" s="1"/>
      <c r="B254" s="34" t="s">
        <v>336</v>
      </c>
      <c r="C254" s="1"/>
      <c r="D254" s="45"/>
      <c r="E254" s="45"/>
      <c r="F254" s="64" t="n">
        <f aca="false">SUM(G254:L254)</f>
        <v>-1425</v>
      </c>
      <c r="G254" s="45" t="n">
        <f aca="false">-G231</f>
        <v>-237.5</v>
      </c>
      <c r="H254" s="45" t="n">
        <f aca="false">-H231</f>
        <v>-437.5</v>
      </c>
      <c r="I254" s="45" t="n">
        <f aca="false">-I231</f>
        <v>-437.5</v>
      </c>
      <c r="J254" s="45" t="n">
        <f aca="false">-J231</f>
        <v>-312.5</v>
      </c>
      <c r="K254" s="45" t="n">
        <f aca="false">-K231</f>
        <v>-0</v>
      </c>
      <c r="L254" s="45" t="n">
        <f aca="false">-L231</f>
        <v>-0</v>
      </c>
      <c r="M254" s="1"/>
    </row>
    <row r="255" customFormat="false" ht="15" hidden="false" customHeight="false" outlineLevel="1" collapsed="false">
      <c r="A255" s="1"/>
      <c r="B255" s="34" t="s">
        <v>337</v>
      </c>
      <c r="C255" s="1"/>
      <c r="D255" s="45"/>
      <c r="E255" s="45"/>
      <c r="F255" s="64" t="n">
        <f aca="false">SUM(G255:L255)</f>
        <v>1800</v>
      </c>
      <c r="G255" s="45" t="n">
        <f aca="false">G238</f>
        <v>0</v>
      </c>
      <c r="H255" s="45" t="n">
        <f aca="false">H238</f>
        <v>0</v>
      </c>
      <c r="I255" s="45" t="n">
        <f aca="false">I238</f>
        <v>0</v>
      </c>
      <c r="J255" s="45" t="n">
        <f aca="false">J238</f>
        <v>0</v>
      </c>
      <c r="K255" s="45" t="n">
        <f aca="false">K238</f>
        <v>1080</v>
      </c>
      <c r="L255" s="45" t="n">
        <f aca="false">L238</f>
        <v>720</v>
      </c>
      <c r="M255" s="1"/>
    </row>
    <row r="256" customFormat="false" ht="15" hidden="false" customHeight="false" outlineLevel="1" collapsed="false">
      <c r="A256" s="1"/>
      <c r="B256" s="46" t="s">
        <v>338</v>
      </c>
      <c r="C256" s="47"/>
      <c r="D256" s="48"/>
      <c r="E256" s="48"/>
      <c r="F256" s="48" t="n">
        <f aca="false">SUM(G256:L256)</f>
        <v>375</v>
      </c>
      <c r="G256" s="48" t="n">
        <f aca="false">G254+G255</f>
        <v>-237.5</v>
      </c>
      <c r="H256" s="48" t="n">
        <f aca="false">H254+H255</f>
        <v>-437.5</v>
      </c>
      <c r="I256" s="48" t="n">
        <f aca="false">I254+I255</f>
        <v>-437.5</v>
      </c>
      <c r="J256" s="48" t="n">
        <f aca="false">J254+J255</f>
        <v>-312.5</v>
      </c>
      <c r="K256" s="48" t="n">
        <f aca="false">K254+K255</f>
        <v>1080</v>
      </c>
      <c r="L256" s="48" t="n">
        <f aca="false">L254+L255</f>
        <v>720</v>
      </c>
      <c r="M256" s="1"/>
    </row>
    <row r="257" customFormat="false" ht="15" hidden="false" customHeight="false" outlineLevel="1" collapsed="false">
      <c r="A257" s="1"/>
      <c r="B257" s="34" t="s">
        <v>339</v>
      </c>
      <c r="C257" s="1"/>
      <c r="D257" s="45"/>
      <c r="E257" s="45"/>
      <c r="F257" s="64" t="n">
        <f aca="false">SUM(G257:L257)</f>
        <v>1100</v>
      </c>
      <c r="G257" s="45" t="n">
        <f aca="false">G288</f>
        <v>0</v>
      </c>
      <c r="H257" s="45" t="n">
        <f aca="false">H288</f>
        <v>350</v>
      </c>
      <c r="I257" s="45" t="n">
        <f aca="false">I288</f>
        <v>437.5</v>
      </c>
      <c r="J257" s="45" t="n">
        <f aca="false">J288</f>
        <v>312.5</v>
      </c>
      <c r="K257" s="45" t="n">
        <f aca="false">K288</f>
        <v>0</v>
      </c>
      <c r="L257" s="45" t="n">
        <f aca="false">L288</f>
        <v>0</v>
      </c>
      <c r="M257" s="1"/>
    </row>
    <row r="258" customFormat="false" ht="15" hidden="false" customHeight="false" outlineLevel="1" collapsed="false">
      <c r="A258" s="1"/>
      <c r="B258" s="34" t="s">
        <v>340</v>
      </c>
      <c r="C258" s="1"/>
      <c r="D258" s="45"/>
      <c r="E258" s="45"/>
      <c r="F258" s="64" t="n">
        <f aca="false">SUM(G258:L258)</f>
        <v>-154.0216007625</v>
      </c>
      <c r="G258" s="45" t="n">
        <f aca="false">-G291</f>
        <v>-0</v>
      </c>
      <c r="H258" s="45" t="n">
        <f aca="false">-H291</f>
        <v>-10.9375</v>
      </c>
      <c r="I258" s="45" t="n">
        <f aca="false">-I291</f>
        <v>-31.171875</v>
      </c>
      <c r="J258" s="45" t="n">
        <f aca="false">-J291</f>
        <v>-49.140625</v>
      </c>
      <c r="K258" s="45" t="n">
        <f aca="false">-K291</f>
        <v>-45.0477614375</v>
      </c>
      <c r="L258" s="45" t="n">
        <f aca="false">-L291</f>
        <v>-17.723839325</v>
      </c>
      <c r="M258" s="1"/>
    </row>
    <row r="259" customFormat="false" ht="15" hidden="false" customHeight="false" outlineLevel="1" collapsed="false">
      <c r="A259" s="1"/>
      <c r="B259" s="34" t="s">
        <v>341</v>
      </c>
      <c r="C259" s="1"/>
      <c r="D259" s="45"/>
      <c r="E259" s="45"/>
      <c r="F259" s="64" t="n">
        <f aca="false">SUM(G259:L259)</f>
        <v>-1100.00000001735</v>
      </c>
      <c r="G259" s="45" t="n">
        <f aca="false">G289</f>
        <v>-0</v>
      </c>
      <c r="H259" s="45" t="n">
        <f aca="false">H289</f>
        <v>-0</v>
      </c>
      <c r="I259" s="45" t="n">
        <f aca="false">I289</f>
        <v>-0</v>
      </c>
      <c r="J259" s="45" t="n">
        <f aca="false">J289</f>
        <v>-0</v>
      </c>
      <c r="K259" s="45" t="n">
        <f aca="false">K289</f>
        <v>-536.338038952423</v>
      </c>
      <c r="L259" s="45" t="n">
        <f aca="false">L289</f>
        <v>-563.661961064923</v>
      </c>
      <c r="M259" s="1"/>
    </row>
    <row r="260" customFormat="false" ht="15" hidden="false" customHeight="false" outlineLevel="1" collapsed="false">
      <c r="A260" s="1"/>
      <c r="B260" s="34" t="s">
        <v>333</v>
      </c>
      <c r="C260" s="1"/>
      <c r="D260" s="45"/>
      <c r="E260" s="45"/>
      <c r="F260" s="64" t="n">
        <f aca="false">SUM(G260:L260)</f>
        <v>-55.9075350070875</v>
      </c>
      <c r="G260" s="45" t="n">
        <f aca="false">G251</f>
        <v>-0</v>
      </c>
      <c r="H260" s="45" t="n">
        <f aca="false">H251</f>
        <v>2.7671875</v>
      </c>
      <c r="I260" s="45" t="n">
        <f aca="false">I251</f>
        <v>7.886484375</v>
      </c>
      <c r="J260" s="45" t="n">
        <f aca="false">J251</f>
        <v>12.432578125</v>
      </c>
      <c r="K260" s="45" t="n">
        <f aca="false">K251</f>
        <v>-45.5279163563125</v>
      </c>
      <c r="L260" s="45" t="n">
        <f aca="false">L251</f>
        <v>-33.465868650775</v>
      </c>
      <c r="M260" s="1"/>
    </row>
    <row r="261" customFormat="false" ht="15" hidden="false" customHeight="false" outlineLevel="1" collapsed="false">
      <c r="A261" s="1"/>
      <c r="B261" s="49" t="s">
        <v>342</v>
      </c>
      <c r="C261" s="50"/>
      <c r="D261" s="51"/>
      <c r="E261" s="51"/>
      <c r="F261" s="51" t="n">
        <f aca="false">SUM(G261:L261)</f>
        <v>165.070864213067</v>
      </c>
      <c r="G261" s="51" t="n">
        <f aca="false">G256+SUM(G257:G260)</f>
        <v>-237.5</v>
      </c>
      <c r="H261" s="51" t="n">
        <f aca="false">H256+SUM(H257:H260)</f>
        <v>-95.6703125</v>
      </c>
      <c r="I261" s="51" t="n">
        <f aca="false">I256+SUM(I257:I260)</f>
        <v>-23.285390625</v>
      </c>
      <c r="J261" s="51" t="n">
        <f aca="false">J256+SUM(J257:J260)</f>
        <v>-36.708046875</v>
      </c>
      <c r="K261" s="51" t="n">
        <f aca="false">K256+SUM(K257:K260)</f>
        <v>453.086283253765</v>
      </c>
      <c r="L261" s="51" t="n">
        <f aca="false">L256+SUM(L257:L260)</f>
        <v>105.148330959302</v>
      </c>
      <c r="M261" s="1"/>
    </row>
    <row r="262" customFormat="false" ht="15" hidden="false" customHeight="false" outlineLevel="1" collapsed="false">
      <c r="A262" s="1"/>
      <c r="B262" s="34" t="s">
        <v>38</v>
      </c>
      <c r="C262" s="1"/>
      <c r="D262" s="53"/>
      <c r="E262" s="53"/>
      <c r="F262" s="65" t="n">
        <f aca="false">IRR(G256:L256)</f>
        <v>0.0853325269429002</v>
      </c>
      <c r="G262" s="53"/>
      <c r="H262" s="53"/>
      <c r="I262" s="53"/>
      <c r="J262" s="53"/>
      <c r="K262" s="53"/>
      <c r="L262" s="53"/>
      <c r="M262" s="1"/>
    </row>
    <row r="263" customFormat="false" ht="15" hidden="false" customHeight="false" outlineLevel="1" collapsed="false">
      <c r="A263" s="1"/>
      <c r="B263" s="34" t="s">
        <v>343</v>
      </c>
      <c r="C263" s="1"/>
      <c r="D263" s="53"/>
      <c r="E263" s="53"/>
      <c r="F263" s="65" t="n">
        <f aca="false">IRR(G261:L261)</f>
        <v>0.10282369047775</v>
      </c>
      <c r="G263" s="53"/>
      <c r="H263" s="53"/>
      <c r="I263" s="53"/>
      <c r="J263" s="53"/>
      <c r="K263" s="53"/>
      <c r="L263" s="53"/>
      <c r="M263" s="1"/>
    </row>
    <row r="264" customFormat="false" ht="15" hidden="false" customHeight="false" outlineLevel="1" collapsed="false">
      <c r="A264" s="1"/>
      <c r="B264" s="34" t="s">
        <v>344</v>
      </c>
      <c r="C264" s="1"/>
      <c r="D264" s="45"/>
      <c r="E264" s="45"/>
      <c r="F264" s="64" t="n">
        <f aca="false">-F239*1000000/Inputs!$F$49</f>
        <v>15833.3333333333</v>
      </c>
      <c r="G264" s="45"/>
      <c r="H264" s="45"/>
      <c r="I264" s="45"/>
      <c r="J264" s="45"/>
      <c r="K264" s="45"/>
      <c r="L264" s="45"/>
      <c r="M264" s="1"/>
    </row>
    <row r="265" customFormat="false" ht="15" hidden="false" customHeight="false" outlineLevel="1" collapsed="false">
      <c r="A265" s="1"/>
      <c r="B265" s="34" t="s">
        <v>345</v>
      </c>
      <c r="C265" s="1"/>
      <c r="D265" s="45"/>
      <c r="E265" s="45"/>
      <c r="F265" s="64" t="n">
        <f aca="false">(-F239-F249)*1000000/Inputs!$F$49</f>
        <v>17544.6844529167</v>
      </c>
      <c r="G265" s="45"/>
      <c r="H265" s="45"/>
      <c r="I265" s="45"/>
      <c r="J265" s="45"/>
      <c r="K265" s="45"/>
      <c r="L265" s="45"/>
      <c r="M265" s="1"/>
    </row>
    <row r="266" customFormat="false" ht="15" hidden="false" customHeight="false" outlineLevel="1" collapsed="false">
      <c r="A266" s="1"/>
      <c r="B266" s="33" t="s">
        <v>346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customFormat="false" ht="15" hidden="false" customHeight="false" outlineLevel="1" collapsed="false">
      <c r="A267" s="1"/>
      <c r="B267" s="66" t="s">
        <v>347</v>
      </c>
      <c r="C267" s="1"/>
      <c r="D267" s="67" t="s">
        <v>134</v>
      </c>
      <c r="E267" s="67" t="s">
        <v>348</v>
      </c>
      <c r="F267" s="67" t="s">
        <v>349</v>
      </c>
      <c r="G267" s="68" t="n">
        <f aca="false">G$5</f>
        <v>2025</v>
      </c>
      <c r="H267" s="68" t="n">
        <f aca="false">H$5</f>
        <v>2026</v>
      </c>
      <c r="I267" s="68" t="n">
        <f aca="false">I$5</f>
        <v>2027</v>
      </c>
      <c r="J267" s="68" t="n">
        <f aca="false">J$5</f>
        <v>2028</v>
      </c>
      <c r="K267" s="68" t="n">
        <f aca="false">K$5</f>
        <v>2029</v>
      </c>
      <c r="L267" s="68" t="n">
        <f aca="false">L$5</f>
        <v>2030</v>
      </c>
      <c r="M267" s="1"/>
    </row>
    <row r="268" customFormat="false" ht="15" hidden="false" customHeight="false" outlineLevel="1" collapsed="false">
      <c r="A268" s="1"/>
      <c r="B268" s="34" t="s">
        <v>350</v>
      </c>
      <c r="C268" s="1"/>
      <c r="D268" s="39" t="n">
        <v>18000</v>
      </c>
      <c r="E268" s="39" t="n">
        <f aca="false">SUM(G268:L268)</f>
        <v>195</v>
      </c>
      <c r="F268" s="69" t="n">
        <f aca="false">IRR(G268:L268)</f>
        <v>0.0462183423209919</v>
      </c>
      <c r="G268" s="39" t="n">
        <f aca="false">-G231+$D268*Inputs!$F$49*G235/1000000</f>
        <v>-237.5</v>
      </c>
      <c r="H268" s="39" t="n">
        <f aca="false">-H231+$D268*Inputs!$F$49*H235/1000000</f>
        <v>-437.5</v>
      </c>
      <c r="I268" s="39" t="n">
        <f aca="false">-I231+$D268*Inputs!$F$49*I235/1000000</f>
        <v>-437.5</v>
      </c>
      <c r="J268" s="39" t="n">
        <f aca="false">-J231+$D268*Inputs!$F$49*J235/1000000</f>
        <v>-312.5</v>
      </c>
      <c r="K268" s="39" t="n">
        <f aca="false">-K231+$D268*Inputs!$F$49*K235/1000000</f>
        <v>972</v>
      </c>
      <c r="L268" s="39" t="n">
        <f aca="false">-L231+$D268*Inputs!$F$49*L235/1000000</f>
        <v>648</v>
      </c>
      <c r="M268" s="1"/>
    </row>
    <row r="269" customFormat="false" ht="15" hidden="false" customHeight="false" outlineLevel="1" collapsed="false">
      <c r="A269" s="1"/>
      <c r="B269" s="34" t="s">
        <v>351</v>
      </c>
      <c r="C269" s="1"/>
      <c r="D269" s="39" t="n">
        <v>20000</v>
      </c>
      <c r="E269" s="39" t="n">
        <f aca="false">SUM(G269:L269)</f>
        <v>375</v>
      </c>
      <c r="F269" s="69" t="n">
        <f aca="false">IRR(G269:L269)</f>
        <v>0.0853325269429002</v>
      </c>
      <c r="G269" s="39" t="n">
        <f aca="false">-G231+$D269*Inputs!$F$49*G235/1000000</f>
        <v>-237.5</v>
      </c>
      <c r="H269" s="39" t="n">
        <f aca="false">-H231+$D269*Inputs!$F$49*H235/1000000</f>
        <v>-437.5</v>
      </c>
      <c r="I269" s="39" t="n">
        <f aca="false">-I231+$D269*Inputs!$F$49*I235/1000000</f>
        <v>-437.5</v>
      </c>
      <c r="J269" s="39" t="n">
        <f aca="false">-J231+$D269*Inputs!$F$49*J235/1000000</f>
        <v>-312.5</v>
      </c>
      <c r="K269" s="39" t="n">
        <f aca="false">-K231+$D269*Inputs!$F$49*K235/1000000</f>
        <v>1080</v>
      </c>
      <c r="L269" s="39" t="n">
        <f aca="false">-L231+$D269*Inputs!$F$49*L235/1000000</f>
        <v>720</v>
      </c>
      <c r="M269" s="1"/>
    </row>
    <row r="270" customFormat="false" ht="15" hidden="false" customHeight="false" outlineLevel="1" collapsed="false">
      <c r="A270" s="1"/>
      <c r="B270" s="34" t="s">
        <v>352</v>
      </c>
      <c r="C270" s="1"/>
      <c r="D270" s="39" t="n">
        <v>24000</v>
      </c>
      <c r="E270" s="39" t="n">
        <f aca="false">SUM(G270:L270)</f>
        <v>735</v>
      </c>
      <c r="F270" s="69" t="n">
        <f aca="false">IRR(G270:L270)</f>
        <v>0.15552410172921</v>
      </c>
      <c r="G270" s="39" t="n">
        <f aca="false">-G231+$D270*Inputs!$F$49*G235/1000000</f>
        <v>-237.5</v>
      </c>
      <c r="H270" s="39" t="n">
        <f aca="false">-H231+$D270*Inputs!$F$49*H235/1000000</f>
        <v>-437.5</v>
      </c>
      <c r="I270" s="39" t="n">
        <f aca="false">-I231+$D270*Inputs!$F$49*I235/1000000</f>
        <v>-437.5</v>
      </c>
      <c r="J270" s="39" t="n">
        <f aca="false">-J231+$D270*Inputs!$F$49*J235/1000000</f>
        <v>-312.5</v>
      </c>
      <c r="K270" s="39" t="n">
        <f aca="false">-K231+$D270*Inputs!$F$49*K235/1000000</f>
        <v>1296</v>
      </c>
      <c r="L270" s="39" t="n">
        <f aca="false">-L231+$D270*Inputs!$F$49*L235/1000000</f>
        <v>864</v>
      </c>
      <c r="M270" s="1"/>
    </row>
    <row r="271" customFormat="false" ht="15" hidden="false" customHeight="false" outlineLevel="1" collapsed="false">
      <c r="A271" s="1"/>
      <c r="B271" s="34" t="s">
        <v>353</v>
      </c>
      <c r="C271" s="1"/>
      <c r="D271" s="39" t="n">
        <v>30000</v>
      </c>
      <c r="E271" s="39" t="n">
        <f aca="false">SUM(G271:L271)</f>
        <v>1275</v>
      </c>
      <c r="F271" s="69" t="n">
        <f aca="false">IRR(G271:L271)</f>
        <v>0.245901226192736</v>
      </c>
      <c r="G271" s="39" t="n">
        <f aca="false">-G231+$D271*Inputs!$F$49*G235/1000000</f>
        <v>-237.5</v>
      </c>
      <c r="H271" s="39" t="n">
        <f aca="false">-H231+$D271*Inputs!$F$49*H235/1000000</f>
        <v>-437.5</v>
      </c>
      <c r="I271" s="39" t="n">
        <f aca="false">-I231+$D271*Inputs!$F$49*I235/1000000</f>
        <v>-437.5</v>
      </c>
      <c r="J271" s="39" t="n">
        <f aca="false">-J231+$D271*Inputs!$F$49*J235/1000000</f>
        <v>-312.5</v>
      </c>
      <c r="K271" s="39" t="n">
        <f aca="false">-K231+$D271*Inputs!$F$49*K235/1000000</f>
        <v>1620</v>
      </c>
      <c r="L271" s="39" t="n">
        <f aca="false">-L231+$D271*Inputs!$F$49*L235/1000000</f>
        <v>1080</v>
      </c>
      <c r="M271" s="1"/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customFormat="false" ht="21" hidden="false" customHeight="true" outlineLevel="0" collapsed="false">
      <c r="A273" s="1"/>
      <c r="B273" s="26" t="s">
        <v>25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1"/>
    </row>
    <row r="274" customFormat="false" ht="15" hidden="false" customHeight="false" outlineLevel="1" collapsed="false">
      <c r="A274" s="1"/>
      <c r="B274" s="27" t="s">
        <v>49</v>
      </c>
      <c r="C274" s="1"/>
      <c r="D274" s="1"/>
      <c r="E274" s="1"/>
      <c r="F274" s="63"/>
      <c r="G274" s="28"/>
      <c r="H274" s="28"/>
      <c r="I274" s="28"/>
      <c r="J274" s="28"/>
      <c r="K274" s="28"/>
      <c r="L274" s="29" t="s">
        <v>50</v>
      </c>
      <c r="M274" s="1"/>
    </row>
    <row r="275" customFormat="false" ht="15" hidden="false" customHeight="false" outlineLevel="1" collapsed="false">
      <c r="A275" s="1"/>
      <c r="B275" s="1"/>
      <c r="C275" s="1"/>
      <c r="D275" s="1"/>
      <c r="E275" s="1"/>
      <c r="F275" s="30" t="s">
        <v>313</v>
      </c>
      <c r="G275" s="31" t="n">
        <f aca="false">G$5</f>
        <v>2025</v>
      </c>
      <c r="H275" s="31" t="n">
        <f aca="false">H$5</f>
        <v>2026</v>
      </c>
      <c r="I275" s="31" t="n">
        <f aca="false">I$5</f>
        <v>2027</v>
      </c>
      <c r="J275" s="31" t="n">
        <f aca="false">J$5</f>
        <v>2028</v>
      </c>
      <c r="K275" s="31" t="n">
        <f aca="false">K$5</f>
        <v>2029</v>
      </c>
      <c r="L275" s="31" t="n">
        <f aca="false">L$5</f>
        <v>2030</v>
      </c>
      <c r="M275" s="1"/>
    </row>
    <row r="276" customFormat="false" ht="15" hidden="false" customHeight="false" outlineLevel="1" collapsed="false">
      <c r="A276" s="1"/>
      <c r="B276" s="33" t="s">
        <v>354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customFormat="false" ht="15" hidden="false" customHeight="false" outlineLevel="1" collapsed="false">
      <c r="A277" s="1"/>
      <c r="B277" s="34" t="s">
        <v>150</v>
      </c>
      <c r="C277" s="1"/>
      <c r="D277" s="54"/>
      <c r="E277" s="54"/>
      <c r="F277" s="70" t="n">
        <f aca="false">Inputs!$F$60</f>
        <v>1100</v>
      </c>
      <c r="G277" s="54"/>
      <c r="H277" s="54"/>
      <c r="I277" s="54"/>
      <c r="J277" s="54"/>
      <c r="K277" s="54"/>
      <c r="L277" s="54"/>
      <c r="M277" s="1"/>
    </row>
    <row r="278" customFormat="false" ht="15" hidden="false" customHeight="false" outlineLevel="1" collapsed="false">
      <c r="A278" s="1"/>
      <c r="B278" s="34" t="s">
        <v>32</v>
      </c>
      <c r="C278" s="1"/>
      <c r="D278" s="71"/>
      <c r="E278" s="71"/>
      <c r="F278" s="72" t="n">
        <f aca="false">Inputs!$F$61</f>
        <v>0.05</v>
      </c>
      <c r="G278" s="71"/>
      <c r="H278" s="71"/>
      <c r="I278" s="71"/>
      <c r="J278" s="71"/>
      <c r="K278" s="71"/>
      <c r="L278" s="71"/>
      <c r="M278" s="1"/>
    </row>
    <row r="279" customFormat="false" ht="15" hidden="false" customHeight="false" outlineLevel="1" collapsed="false">
      <c r="A279" s="1"/>
      <c r="B279" s="34" t="s">
        <v>155</v>
      </c>
      <c r="C279" s="1"/>
      <c r="D279" s="45"/>
      <c r="E279" s="45"/>
      <c r="F279" s="64" t="n">
        <f aca="false">Inputs!$F$62</f>
        <v>4</v>
      </c>
      <c r="G279" s="45"/>
      <c r="H279" s="45"/>
      <c r="I279" s="45"/>
      <c r="J279" s="45"/>
      <c r="K279" s="45"/>
      <c r="L279" s="45"/>
      <c r="M279" s="1"/>
    </row>
    <row r="280" customFormat="false" ht="15" hidden="false" customHeight="false" outlineLevel="1" collapsed="false">
      <c r="A280" s="1"/>
      <c r="B280" s="34" t="s">
        <v>355</v>
      </c>
      <c r="C280" s="1"/>
      <c r="D280" s="71"/>
      <c r="E280" s="71"/>
      <c r="F280" s="72" t="n">
        <f aca="false">F278/F279</f>
        <v>0.0125</v>
      </c>
      <c r="G280" s="71"/>
      <c r="H280" s="71"/>
      <c r="I280" s="71"/>
      <c r="J280" s="71"/>
      <c r="K280" s="71"/>
      <c r="L280" s="71"/>
      <c r="M280" s="1"/>
    </row>
    <row r="281" customFormat="false" ht="15" hidden="false" customHeight="false" outlineLevel="1" collapsed="false">
      <c r="A281" s="1"/>
      <c r="B281" s="34" t="s">
        <v>356</v>
      </c>
      <c r="C281" s="1"/>
      <c r="D281" s="45"/>
      <c r="E281" s="45"/>
      <c r="F281" s="64" t="n">
        <f aca="false">F279*Inputs!$F$64</f>
        <v>8</v>
      </c>
      <c r="G281" s="45"/>
      <c r="H281" s="45"/>
      <c r="I281" s="45"/>
      <c r="J281" s="45"/>
      <c r="K281" s="45"/>
      <c r="L281" s="45"/>
      <c r="M281" s="1"/>
    </row>
    <row r="282" customFormat="false" ht="15" hidden="false" customHeight="false" outlineLevel="1" collapsed="false">
      <c r="A282" s="1"/>
      <c r="B282" s="34" t="s">
        <v>158</v>
      </c>
      <c r="C282" s="1"/>
      <c r="D282" s="73"/>
      <c r="E282" s="73"/>
      <c r="F282" s="74" t="n">
        <f aca="false">Inputs!$F$63</f>
        <v>2029</v>
      </c>
      <c r="G282" s="73"/>
      <c r="H282" s="73"/>
      <c r="I282" s="73"/>
      <c r="J282" s="73"/>
      <c r="K282" s="73"/>
      <c r="L282" s="73"/>
      <c r="M282" s="1"/>
    </row>
    <row r="283" customFormat="false" ht="15" hidden="false" customHeight="false" outlineLevel="1" collapsed="false">
      <c r="A283" s="1"/>
      <c r="B283" s="46" t="s">
        <v>357</v>
      </c>
      <c r="C283" s="47"/>
      <c r="D283" s="75"/>
      <c r="E283" s="75"/>
      <c r="F283" s="75" t="n">
        <f aca="false">F277*F280/(1-(1+F280)^(-F281))</f>
        <v>145.346450097481</v>
      </c>
      <c r="G283" s="75"/>
      <c r="H283" s="75"/>
      <c r="I283" s="75"/>
      <c r="J283" s="75"/>
      <c r="K283" s="75"/>
      <c r="L283" s="75"/>
      <c r="M283" s="1"/>
    </row>
    <row r="284" customFormat="false" ht="15" hidden="false" customHeight="false" outlineLevel="1" collapsed="false">
      <c r="A284" s="1"/>
      <c r="B284" s="34" t="s">
        <v>358</v>
      </c>
      <c r="C284" s="1"/>
      <c r="D284" s="76"/>
      <c r="E284" s="76"/>
      <c r="F284" s="77" t="n">
        <f aca="false">PMT(F280,F281,-F277)</f>
        <v>145.34645009748</v>
      </c>
      <c r="G284" s="76"/>
      <c r="H284" s="76"/>
      <c r="I284" s="76"/>
      <c r="J284" s="76"/>
      <c r="K284" s="76"/>
      <c r="L284" s="76"/>
      <c r="M284" s="1"/>
    </row>
    <row r="285" customFormat="false" ht="15" hidden="false" customHeight="false" outlineLevel="1" collapsed="false">
      <c r="A285" s="1"/>
      <c r="B285" s="55" t="s">
        <v>359</v>
      </c>
      <c r="C285" s="1"/>
      <c r="D285" s="78"/>
      <c r="E285" s="78"/>
      <c r="F285" s="79" t="n">
        <f aca="false">ROUND(F283-F284,6)</f>
        <v>0</v>
      </c>
      <c r="G285" s="78"/>
      <c r="H285" s="78"/>
      <c r="I285" s="78"/>
      <c r="J285" s="78"/>
      <c r="K285" s="78"/>
      <c r="L285" s="78"/>
      <c r="M285" s="1"/>
    </row>
    <row r="286" customFormat="false" ht="15" hidden="false" customHeight="false" outlineLevel="1" collapsed="false">
      <c r="A286" s="1"/>
      <c r="B286" s="33" t="s">
        <v>360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customFormat="false" ht="15" hidden="false" customHeight="false" outlineLevel="1" collapsed="false">
      <c r="A287" s="1"/>
      <c r="B287" s="34" t="s">
        <v>361</v>
      </c>
      <c r="C287" s="1"/>
      <c r="D287" s="45"/>
      <c r="E287" s="45"/>
      <c r="F287" s="45"/>
      <c r="G287" s="45" t="n">
        <v>0</v>
      </c>
      <c r="H287" s="45" t="n">
        <f aca="false">G290</f>
        <v>0</v>
      </c>
      <c r="I287" s="45" t="n">
        <f aca="false">H290</f>
        <v>350</v>
      </c>
      <c r="J287" s="45" t="n">
        <f aca="false">I290</f>
        <v>787.5</v>
      </c>
      <c r="K287" s="45" t="n">
        <f aca="false">J290</f>
        <v>1100</v>
      </c>
      <c r="L287" s="45" t="n">
        <f aca="false">K290</f>
        <v>563.661961</v>
      </c>
      <c r="M287" s="1"/>
    </row>
    <row r="288" customFormat="false" ht="15" hidden="false" customHeight="false" outlineLevel="1" collapsed="false">
      <c r="A288" s="1"/>
      <c r="B288" s="34" t="s">
        <v>362</v>
      </c>
      <c r="C288" s="1"/>
      <c r="D288" s="45"/>
      <c r="E288" s="45"/>
      <c r="F288" s="64" t="n">
        <f aca="false">SUM(G288:L288)</f>
        <v>1100</v>
      </c>
      <c r="G288" s="45" t="n">
        <f aca="false">SUMIF($D$297:$D$316,G$5,$F$297:$F$316)</f>
        <v>0</v>
      </c>
      <c r="H288" s="45" t="n">
        <f aca="false">SUMIF($D$297:$D$316,H$5,$F$297:$F$316)</f>
        <v>350</v>
      </c>
      <c r="I288" s="45" t="n">
        <f aca="false">SUMIF($D$297:$D$316,I$5,$F$297:$F$316)</f>
        <v>437.5</v>
      </c>
      <c r="J288" s="45" t="n">
        <f aca="false">SUMIF($D$297:$D$316,J$5,$F$297:$F$316)</f>
        <v>312.5</v>
      </c>
      <c r="K288" s="45" t="n">
        <f aca="false">SUMIF($D$297:$D$316,K$5,$F$297:$F$316)</f>
        <v>0</v>
      </c>
      <c r="L288" s="45" t="n">
        <f aca="false">SUMIF($D$297:$D$316,L$5,$F$297:$F$316)</f>
        <v>0</v>
      </c>
      <c r="M288" s="1"/>
    </row>
    <row r="289" customFormat="false" ht="15" hidden="false" customHeight="false" outlineLevel="1" collapsed="false">
      <c r="A289" s="1"/>
      <c r="B289" s="34" t="s">
        <v>341</v>
      </c>
      <c r="C289" s="1"/>
      <c r="D289" s="45"/>
      <c r="E289" s="45"/>
      <c r="F289" s="64" t="n">
        <f aca="false">SUM(G289:L289)</f>
        <v>-1100.00000001735</v>
      </c>
      <c r="G289" s="45" t="n">
        <f aca="false">-SUMIF($D$297:$D$316,G$5,$H$297:$H$316)</f>
        <v>-0</v>
      </c>
      <c r="H289" s="45" t="n">
        <f aca="false">-SUMIF($D$297:$D$316,H$5,$H$297:$H$316)</f>
        <v>-0</v>
      </c>
      <c r="I289" s="45" t="n">
        <f aca="false">-SUMIF($D$297:$D$316,I$5,$H$297:$H$316)</f>
        <v>-0</v>
      </c>
      <c r="J289" s="45" t="n">
        <f aca="false">-SUMIF($D$297:$D$316,J$5,$H$297:$H$316)</f>
        <v>-0</v>
      </c>
      <c r="K289" s="45" t="n">
        <f aca="false">-SUMIF($D$297:$D$316,K$5,$H$297:$H$316)</f>
        <v>-536.338038952423</v>
      </c>
      <c r="L289" s="45" t="n">
        <f aca="false">-SUMIF($D$297:$D$316,L$5,$H$297:$H$316)</f>
        <v>-563.661961064923</v>
      </c>
      <c r="M289" s="1"/>
    </row>
    <row r="290" customFormat="false" ht="15" hidden="false" customHeight="false" outlineLevel="1" collapsed="false">
      <c r="A290" s="1"/>
      <c r="B290" s="46" t="s">
        <v>363</v>
      </c>
      <c r="C290" s="47"/>
      <c r="D290" s="48"/>
      <c r="E290" s="48"/>
      <c r="F290" s="48"/>
      <c r="G290" s="48" t="n">
        <f aca="false">ROUND(SUM(G287:G289),6)</f>
        <v>0</v>
      </c>
      <c r="H290" s="48" t="n">
        <f aca="false">ROUND(SUM(H287:H289),6)</f>
        <v>350</v>
      </c>
      <c r="I290" s="48" t="n">
        <f aca="false">ROUND(SUM(I287:I289),6)</f>
        <v>787.5</v>
      </c>
      <c r="J290" s="48" t="n">
        <f aca="false">ROUND(SUM(J287:J289),6)</f>
        <v>1100</v>
      </c>
      <c r="K290" s="48" t="n">
        <f aca="false">ROUND(SUM(K287:K289),6)</f>
        <v>563.661961</v>
      </c>
      <c r="L290" s="48" t="n">
        <f aca="false">ROUND(SUM(L287:L289),6)</f>
        <v>-0</v>
      </c>
      <c r="M290" s="1"/>
    </row>
    <row r="291" customFormat="false" ht="15" hidden="false" customHeight="false" outlineLevel="1" collapsed="false">
      <c r="A291" s="1"/>
      <c r="B291" s="34" t="s">
        <v>364</v>
      </c>
      <c r="C291" s="1"/>
      <c r="D291" s="45"/>
      <c r="E291" s="45"/>
      <c r="F291" s="64" t="n">
        <f aca="false">SUM(G291:L291)</f>
        <v>154.0216007625</v>
      </c>
      <c r="G291" s="45" t="n">
        <f aca="false">SUMIF($D$297:$D$316,G$5,$G$297:$G$316)</f>
        <v>0</v>
      </c>
      <c r="H291" s="45" t="n">
        <f aca="false">SUMIF($D$297:$D$316,H$5,$G$297:$G$316)</f>
        <v>10.9375</v>
      </c>
      <c r="I291" s="45" t="n">
        <f aca="false">SUMIF($D$297:$D$316,I$5,$G$297:$G$316)</f>
        <v>31.171875</v>
      </c>
      <c r="J291" s="45" t="n">
        <f aca="false">SUMIF($D$297:$D$316,J$5,$G$297:$G$316)</f>
        <v>49.140625</v>
      </c>
      <c r="K291" s="45" t="n">
        <f aca="false">SUMIF($D$297:$D$316,K$5,$G$297:$G$316)</f>
        <v>45.0477614375</v>
      </c>
      <c r="L291" s="45" t="n">
        <f aca="false">SUMIF($D$297:$D$316,L$5,$G$297:$G$316)</f>
        <v>17.723839325</v>
      </c>
      <c r="M291" s="1"/>
    </row>
    <row r="292" customFormat="false" ht="15" hidden="false" customHeight="false" outlineLevel="1" collapsed="false">
      <c r="A292" s="1"/>
      <c r="B292" s="46" t="s">
        <v>365</v>
      </c>
      <c r="C292" s="47"/>
      <c r="D292" s="48"/>
      <c r="E292" s="48"/>
      <c r="F292" s="48" t="n">
        <f aca="false">SUM(G292:L292)</f>
        <v>1254.02160077985</v>
      </c>
      <c r="G292" s="48" t="n">
        <f aca="false">G291-G289</f>
        <v>0</v>
      </c>
      <c r="H292" s="48" t="n">
        <f aca="false">H291-H289</f>
        <v>10.9375</v>
      </c>
      <c r="I292" s="48" t="n">
        <f aca="false">I291-I289</f>
        <v>31.171875</v>
      </c>
      <c r="J292" s="48" t="n">
        <f aca="false">J291-J289</f>
        <v>49.140625</v>
      </c>
      <c r="K292" s="48" t="n">
        <f aca="false">K291-K289</f>
        <v>581.385800389923</v>
      </c>
      <c r="L292" s="48" t="n">
        <f aca="false">L291-L289</f>
        <v>581.385800389923</v>
      </c>
      <c r="M292" s="1"/>
    </row>
    <row r="293" customFormat="false" ht="15" hidden="false" customHeight="false" outlineLevel="1" collapsed="false">
      <c r="A293" s="1"/>
      <c r="B293" s="34" t="s">
        <v>366</v>
      </c>
      <c r="C293" s="1"/>
      <c r="D293" s="45"/>
      <c r="E293" s="45"/>
      <c r="F293" s="64" t="n">
        <f aca="false">SUM(G293:L293)</f>
        <v>1744.09246499291</v>
      </c>
      <c r="G293" s="45" t="n">
        <f aca="false">G238+G251</f>
        <v>0</v>
      </c>
      <c r="H293" s="45" t="n">
        <f aca="false">H238+H251</f>
        <v>2.7671875</v>
      </c>
      <c r="I293" s="45" t="n">
        <f aca="false">I238+I251</f>
        <v>7.886484375</v>
      </c>
      <c r="J293" s="45" t="n">
        <f aca="false">J238+J251</f>
        <v>12.432578125</v>
      </c>
      <c r="K293" s="45" t="n">
        <f aca="false">K238+K251</f>
        <v>1034.47208364369</v>
      </c>
      <c r="L293" s="45" t="n">
        <f aca="false">L238+L251</f>
        <v>686.534131349225</v>
      </c>
      <c r="M293" s="1"/>
    </row>
    <row r="294" customFormat="false" ht="15" hidden="false" customHeight="false" outlineLevel="1" collapsed="false">
      <c r="A294" s="1"/>
      <c r="B294" s="34" t="s">
        <v>367</v>
      </c>
      <c r="C294" s="1"/>
      <c r="D294" s="58"/>
      <c r="E294" s="58"/>
      <c r="F294" s="58"/>
      <c r="G294" s="58" t="str">
        <f aca="false">IF(G289=0,"n.m.",G293/G292)</f>
        <v>n.m.</v>
      </c>
      <c r="H294" s="58" t="str">
        <f aca="false">IF(H289=0,"n.m.",H293/H292)</f>
        <v>n.m.</v>
      </c>
      <c r="I294" s="58" t="str">
        <f aca="false">IF(I289=0,"n.m.",I293/I292)</f>
        <v>n.m.</v>
      </c>
      <c r="J294" s="58" t="str">
        <f aca="false">IF(J289=0,"n.m.",J293/J292)</f>
        <v>n.m.</v>
      </c>
      <c r="K294" s="58" t="n">
        <f aca="false">IF(K289=0,"n.m.",K293/K292)</f>
        <v>1.7793212062453</v>
      </c>
      <c r="L294" s="58" t="n">
        <f aca="false">IF(L289=0,"n.m.",L293/L292)</f>
        <v>1.18085809954213</v>
      </c>
      <c r="M294" s="1"/>
    </row>
    <row r="295" customFormat="false" ht="15" hidden="false" customHeight="false" outlineLevel="1" collapsed="false">
      <c r="A295" s="1"/>
      <c r="B295" s="33" t="s">
        <v>368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customFormat="false" ht="15" hidden="false" customHeight="false" outlineLevel="1" collapsed="false">
      <c r="A296" s="1"/>
      <c r="B296" s="80" t="s">
        <v>369</v>
      </c>
      <c r="C296" s="1"/>
      <c r="D296" s="30" t="s">
        <v>370</v>
      </c>
      <c r="E296" s="30" t="s">
        <v>371</v>
      </c>
      <c r="F296" s="30" t="s">
        <v>372</v>
      </c>
      <c r="G296" s="30" t="s">
        <v>373</v>
      </c>
      <c r="H296" s="30" t="s">
        <v>374</v>
      </c>
      <c r="I296" s="30" t="s">
        <v>375</v>
      </c>
      <c r="J296" s="30" t="s">
        <v>376</v>
      </c>
      <c r="K296" s="1"/>
      <c r="L296" s="1"/>
      <c r="M296" s="1"/>
    </row>
    <row r="297" customFormat="false" ht="15" hidden="false" customHeight="false" outlineLevel="1" collapsed="false">
      <c r="A297" s="1"/>
      <c r="B297" s="34" t="s">
        <v>377</v>
      </c>
      <c r="C297" s="1"/>
      <c r="D297" s="73" t="n">
        <v>2026</v>
      </c>
      <c r="E297" s="81" t="n">
        <v>0</v>
      </c>
      <c r="F297" s="81" t="n">
        <f aca="false">SUMIF(Inputs!$G$6:$L$6,D297,Inputs!$G$54:$L$54)/$F$279</f>
        <v>87.5</v>
      </c>
      <c r="G297" s="81" t="n">
        <f aca="false">(E297+F297)*$F$280</f>
        <v>1.09375</v>
      </c>
      <c r="H297" s="81" t="n">
        <f aca="false">IF(D297&gt;=$F$282,$F$283-G297,0)</f>
        <v>0</v>
      </c>
      <c r="I297" s="81" t="n">
        <f aca="false">G297+H297</f>
        <v>1.09375</v>
      </c>
      <c r="J297" s="81" t="n">
        <f aca="false">ROUND(E297+F297-H297,6)</f>
        <v>87.5</v>
      </c>
      <c r="K297" s="1"/>
      <c r="L297" s="1"/>
      <c r="M297" s="1"/>
    </row>
    <row r="298" customFormat="false" ht="15" hidden="false" customHeight="false" outlineLevel="1" collapsed="false">
      <c r="A298" s="1"/>
      <c r="B298" s="34" t="s">
        <v>378</v>
      </c>
      <c r="C298" s="1"/>
      <c r="D298" s="73" t="n">
        <v>2026</v>
      </c>
      <c r="E298" s="81" t="n">
        <f aca="false">J297</f>
        <v>87.5</v>
      </c>
      <c r="F298" s="81" t="n">
        <f aca="false">SUMIF(Inputs!$G$6:$L$6,D298,Inputs!$G$54:$L$54)/$F$279</f>
        <v>87.5</v>
      </c>
      <c r="G298" s="81" t="n">
        <f aca="false">(E298+F298)*$F$280</f>
        <v>2.1875</v>
      </c>
      <c r="H298" s="81" t="n">
        <f aca="false">IF(D298&gt;=$F$282,$F$283-G298,0)</f>
        <v>0</v>
      </c>
      <c r="I298" s="81" t="n">
        <f aca="false">G298+H298</f>
        <v>2.1875</v>
      </c>
      <c r="J298" s="81" t="n">
        <f aca="false">ROUND(E298+F298-H298,6)</f>
        <v>175</v>
      </c>
      <c r="K298" s="1"/>
      <c r="L298" s="1"/>
      <c r="M298" s="1"/>
    </row>
    <row r="299" customFormat="false" ht="15" hidden="false" customHeight="false" outlineLevel="1" collapsed="false">
      <c r="A299" s="1"/>
      <c r="B299" s="34" t="s">
        <v>379</v>
      </c>
      <c r="C299" s="1"/>
      <c r="D299" s="73" t="n">
        <v>2026</v>
      </c>
      <c r="E299" s="81" t="n">
        <f aca="false">J298</f>
        <v>175</v>
      </c>
      <c r="F299" s="81" t="n">
        <f aca="false">SUMIF(Inputs!$G$6:$L$6,D299,Inputs!$G$54:$L$54)/$F$279</f>
        <v>87.5</v>
      </c>
      <c r="G299" s="81" t="n">
        <f aca="false">(E299+F299)*$F$280</f>
        <v>3.28125</v>
      </c>
      <c r="H299" s="81" t="n">
        <f aca="false">IF(D299&gt;=$F$282,$F$283-G299,0)</f>
        <v>0</v>
      </c>
      <c r="I299" s="81" t="n">
        <f aca="false">G299+H299</f>
        <v>3.28125</v>
      </c>
      <c r="J299" s="81" t="n">
        <f aca="false">ROUND(E299+F299-H299,6)</f>
        <v>262.5</v>
      </c>
      <c r="K299" s="1"/>
      <c r="L299" s="1"/>
      <c r="M299" s="1"/>
    </row>
    <row r="300" customFormat="false" ht="15" hidden="false" customHeight="false" outlineLevel="1" collapsed="false">
      <c r="A300" s="1"/>
      <c r="B300" s="34" t="s">
        <v>380</v>
      </c>
      <c r="C300" s="1"/>
      <c r="D300" s="73" t="n">
        <v>2026</v>
      </c>
      <c r="E300" s="81" t="n">
        <f aca="false">J299</f>
        <v>262.5</v>
      </c>
      <c r="F300" s="81" t="n">
        <f aca="false">SUMIF(Inputs!$G$6:$L$6,D300,Inputs!$G$54:$L$54)/$F$279</f>
        <v>87.5</v>
      </c>
      <c r="G300" s="81" t="n">
        <f aca="false">(E300+F300)*$F$280</f>
        <v>4.375</v>
      </c>
      <c r="H300" s="81" t="n">
        <f aca="false">IF(D300&gt;=$F$282,$F$283-G300,0)</f>
        <v>0</v>
      </c>
      <c r="I300" s="81" t="n">
        <f aca="false">G300+H300</f>
        <v>4.375</v>
      </c>
      <c r="J300" s="81" t="n">
        <f aca="false">ROUND(E300+F300-H300,6)</f>
        <v>350</v>
      </c>
      <c r="K300" s="1"/>
      <c r="L300" s="1"/>
      <c r="M300" s="1"/>
    </row>
    <row r="301" customFormat="false" ht="15" hidden="false" customHeight="false" outlineLevel="1" collapsed="false">
      <c r="A301" s="1"/>
      <c r="B301" s="34" t="s">
        <v>381</v>
      </c>
      <c r="C301" s="1"/>
      <c r="D301" s="73" t="n">
        <v>2027</v>
      </c>
      <c r="E301" s="81" t="n">
        <f aca="false">J300</f>
        <v>350</v>
      </c>
      <c r="F301" s="81" t="n">
        <f aca="false">SUMIF(Inputs!$G$6:$L$6,D301,Inputs!$G$54:$L$54)/$F$279</f>
        <v>109.375</v>
      </c>
      <c r="G301" s="81" t="n">
        <f aca="false">(E301+F301)*$F$280</f>
        <v>5.7421875</v>
      </c>
      <c r="H301" s="81" t="n">
        <f aca="false">IF(D301&gt;=$F$282,$F$283-G301,0)</f>
        <v>0</v>
      </c>
      <c r="I301" s="81" t="n">
        <f aca="false">G301+H301</f>
        <v>5.7421875</v>
      </c>
      <c r="J301" s="81" t="n">
        <f aca="false">ROUND(E301+F301-H301,6)</f>
        <v>459.375</v>
      </c>
      <c r="K301" s="1"/>
      <c r="L301" s="1"/>
      <c r="M301" s="1"/>
    </row>
    <row r="302" customFormat="false" ht="15" hidden="false" customHeight="false" outlineLevel="1" collapsed="false">
      <c r="A302" s="1"/>
      <c r="B302" s="34" t="s">
        <v>382</v>
      </c>
      <c r="C302" s="1"/>
      <c r="D302" s="73" t="n">
        <v>2027</v>
      </c>
      <c r="E302" s="81" t="n">
        <f aca="false">J301</f>
        <v>459.375</v>
      </c>
      <c r="F302" s="81" t="n">
        <f aca="false">SUMIF(Inputs!$G$6:$L$6,D302,Inputs!$G$54:$L$54)/$F$279</f>
        <v>109.375</v>
      </c>
      <c r="G302" s="81" t="n">
        <f aca="false">(E302+F302)*$F$280</f>
        <v>7.109375</v>
      </c>
      <c r="H302" s="81" t="n">
        <f aca="false">IF(D302&gt;=$F$282,$F$283-G302,0)</f>
        <v>0</v>
      </c>
      <c r="I302" s="81" t="n">
        <f aca="false">G302+H302</f>
        <v>7.109375</v>
      </c>
      <c r="J302" s="81" t="n">
        <f aca="false">ROUND(E302+F302-H302,6)</f>
        <v>568.75</v>
      </c>
      <c r="K302" s="1"/>
      <c r="L302" s="1"/>
      <c r="M302" s="1"/>
    </row>
    <row r="303" customFormat="false" ht="15" hidden="false" customHeight="false" outlineLevel="1" collapsed="false">
      <c r="A303" s="1"/>
      <c r="B303" s="34" t="s">
        <v>383</v>
      </c>
      <c r="C303" s="1"/>
      <c r="D303" s="73" t="n">
        <v>2027</v>
      </c>
      <c r="E303" s="81" t="n">
        <f aca="false">J302</f>
        <v>568.75</v>
      </c>
      <c r="F303" s="81" t="n">
        <f aca="false">SUMIF(Inputs!$G$6:$L$6,D303,Inputs!$G$54:$L$54)/$F$279</f>
        <v>109.375</v>
      </c>
      <c r="G303" s="81" t="n">
        <f aca="false">(E303+F303)*$F$280</f>
        <v>8.4765625</v>
      </c>
      <c r="H303" s="81" t="n">
        <f aca="false">IF(D303&gt;=$F$282,$F$283-G303,0)</f>
        <v>0</v>
      </c>
      <c r="I303" s="81" t="n">
        <f aca="false">G303+H303</f>
        <v>8.4765625</v>
      </c>
      <c r="J303" s="81" t="n">
        <f aca="false">ROUND(E303+F303-H303,6)</f>
        <v>678.125</v>
      </c>
      <c r="K303" s="1"/>
      <c r="L303" s="1"/>
      <c r="M303" s="1"/>
    </row>
    <row r="304" customFormat="false" ht="15" hidden="false" customHeight="false" outlineLevel="1" collapsed="false">
      <c r="A304" s="1"/>
      <c r="B304" s="34" t="s">
        <v>384</v>
      </c>
      <c r="C304" s="1"/>
      <c r="D304" s="73" t="n">
        <v>2027</v>
      </c>
      <c r="E304" s="81" t="n">
        <f aca="false">J303</f>
        <v>678.125</v>
      </c>
      <c r="F304" s="81" t="n">
        <f aca="false">SUMIF(Inputs!$G$6:$L$6,D304,Inputs!$G$54:$L$54)/$F$279</f>
        <v>109.375</v>
      </c>
      <c r="G304" s="81" t="n">
        <f aca="false">(E304+F304)*$F$280</f>
        <v>9.84375</v>
      </c>
      <c r="H304" s="81" t="n">
        <f aca="false">IF(D304&gt;=$F$282,$F$283-G304,0)</f>
        <v>0</v>
      </c>
      <c r="I304" s="81" t="n">
        <f aca="false">G304+H304</f>
        <v>9.84375</v>
      </c>
      <c r="J304" s="81" t="n">
        <f aca="false">ROUND(E304+F304-H304,6)</f>
        <v>787.5</v>
      </c>
      <c r="K304" s="1"/>
      <c r="L304" s="1"/>
      <c r="M304" s="1"/>
    </row>
    <row r="305" customFormat="false" ht="15" hidden="false" customHeight="false" outlineLevel="1" collapsed="false">
      <c r="A305" s="1"/>
      <c r="B305" s="34" t="s">
        <v>385</v>
      </c>
      <c r="C305" s="1"/>
      <c r="D305" s="73" t="n">
        <v>2028</v>
      </c>
      <c r="E305" s="81" t="n">
        <f aca="false">J304</f>
        <v>787.5</v>
      </c>
      <c r="F305" s="81" t="n">
        <f aca="false">SUMIF(Inputs!$G$6:$L$6,D305,Inputs!$G$54:$L$54)/$F$279</f>
        <v>78.125</v>
      </c>
      <c r="G305" s="81" t="n">
        <f aca="false">(E305+F305)*$F$280</f>
        <v>10.8203125</v>
      </c>
      <c r="H305" s="81" t="n">
        <f aca="false">IF(D305&gt;=$F$282,$F$283-G305,0)</f>
        <v>0</v>
      </c>
      <c r="I305" s="81" t="n">
        <f aca="false">G305+H305</f>
        <v>10.8203125</v>
      </c>
      <c r="J305" s="81" t="n">
        <f aca="false">ROUND(E305+F305-H305,6)</f>
        <v>865.625</v>
      </c>
      <c r="K305" s="1"/>
      <c r="L305" s="1"/>
      <c r="M305" s="1"/>
    </row>
    <row r="306" customFormat="false" ht="15" hidden="false" customHeight="false" outlineLevel="1" collapsed="false">
      <c r="A306" s="1"/>
      <c r="B306" s="34" t="s">
        <v>386</v>
      </c>
      <c r="C306" s="1"/>
      <c r="D306" s="73" t="n">
        <v>2028</v>
      </c>
      <c r="E306" s="81" t="n">
        <f aca="false">J305</f>
        <v>865.625</v>
      </c>
      <c r="F306" s="81" t="n">
        <f aca="false">SUMIF(Inputs!$G$6:$L$6,D306,Inputs!$G$54:$L$54)/$F$279</f>
        <v>78.125</v>
      </c>
      <c r="G306" s="81" t="n">
        <f aca="false">(E306+F306)*$F$280</f>
        <v>11.796875</v>
      </c>
      <c r="H306" s="81" t="n">
        <f aca="false">IF(D306&gt;=$F$282,$F$283-G306,0)</f>
        <v>0</v>
      </c>
      <c r="I306" s="81" t="n">
        <f aca="false">G306+H306</f>
        <v>11.796875</v>
      </c>
      <c r="J306" s="81" t="n">
        <f aca="false">ROUND(E306+F306-H306,6)</f>
        <v>943.75</v>
      </c>
      <c r="K306" s="1"/>
      <c r="L306" s="1"/>
      <c r="M306" s="1"/>
    </row>
    <row r="307" customFormat="false" ht="15" hidden="false" customHeight="false" outlineLevel="1" collapsed="false">
      <c r="A307" s="1"/>
      <c r="B307" s="34" t="s">
        <v>387</v>
      </c>
      <c r="C307" s="1"/>
      <c r="D307" s="73" t="n">
        <v>2028</v>
      </c>
      <c r="E307" s="81" t="n">
        <f aca="false">J306</f>
        <v>943.75</v>
      </c>
      <c r="F307" s="81" t="n">
        <f aca="false">SUMIF(Inputs!$G$6:$L$6,D307,Inputs!$G$54:$L$54)/$F$279</f>
        <v>78.125</v>
      </c>
      <c r="G307" s="81" t="n">
        <f aca="false">(E307+F307)*$F$280</f>
        <v>12.7734375</v>
      </c>
      <c r="H307" s="81" t="n">
        <f aca="false">IF(D307&gt;=$F$282,$F$283-G307,0)</f>
        <v>0</v>
      </c>
      <c r="I307" s="81" t="n">
        <f aca="false">G307+H307</f>
        <v>12.7734375</v>
      </c>
      <c r="J307" s="81" t="n">
        <f aca="false">ROUND(E307+F307-H307,6)</f>
        <v>1021.875</v>
      </c>
      <c r="K307" s="1"/>
      <c r="L307" s="1"/>
      <c r="M307" s="1"/>
    </row>
    <row r="308" customFormat="false" ht="15" hidden="false" customHeight="false" outlineLevel="1" collapsed="false">
      <c r="A308" s="1"/>
      <c r="B308" s="34" t="s">
        <v>388</v>
      </c>
      <c r="C308" s="1"/>
      <c r="D308" s="73" t="n">
        <v>2028</v>
      </c>
      <c r="E308" s="81" t="n">
        <f aca="false">J307</f>
        <v>1021.875</v>
      </c>
      <c r="F308" s="81" t="n">
        <f aca="false">SUMIF(Inputs!$G$6:$L$6,D308,Inputs!$G$54:$L$54)/$F$279</f>
        <v>78.125</v>
      </c>
      <c r="G308" s="81" t="n">
        <f aca="false">(E308+F308)*$F$280</f>
        <v>13.75</v>
      </c>
      <c r="H308" s="81" t="n">
        <f aca="false">IF(D308&gt;=$F$282,$F$283-G308,0)</f>
        <v>0</v>
      </c>
      <c r="I308" s="81" t="n">
        <f aca="false">G308+H308</f>
        <v>13.75</v>
      </c>
      <c r="J308" s="81" t="n">
        <f aca="false">ROUND(E308+F308-H308,6)</f>
        <v>1100</v>
      </c>
      <c r="K308" s="1"/>
      <c r="L308" s="1"/>
      <c r="M308" s="1"/>
    </row>
    <row r="309" customFormat="false" ht="15" hidden="false" customHeight="false" outlineLevel="1" collapsed="false">
      <c r="A309" s="1"/>
      <c r="B309" s="34" t="s">
        <v>389</v>
      </c>
      <c r="C309" s="1"/>
      <c r="D309" s="73" t="n">
        <v>2029</v>
      </c>
      <c r="E309" s="81" t="n">
        <f aca="false">J308</f>
        <v>1100</v>
      </c>
      <c r="F309" s="81" t="n">
        <f aca="false">SUMIF(Inputs!$G$6:$L$6,D309,Inputs!$G$54:$L$54)/$F$279</f>
        <v>0</v>
      </c>
      <c r="G309" s="81" t="n">
        <f aca="false">(E309+F309)*$F$280</f>
        <v>13.75</v>
      </c>
      <c r="H309" s="81" t="n">
        <f aca="false">IF(D309&gt;=$F$282,$F$283-G309,0)</f>
        <v>131.596450097481</v>
      </c>
      <c r="I309" s="81" t="n">
        <f aca="false">G309+H309</f>
        <v>145.346450097481</v>
      </c>
      <c r="J309" s="81" t="n">
        <f aca="false">ROUND(E309+F309-H309,6)</f>
        <v>968.40355</v>
      </c>
      <c r="K309" s="1"/>
      <c r="L309" s="1"/>
      <c r="M309" s="1"/>
    </row>
    <row r="310" customFormat="false" ht="15" hidden="false" customHeight="false" outlineLevel="1" collapsed="false">
      <c r="A310" s="1"/>
      <c r="B310" s="34" t="s">
        <v>390</v>
      </c>
      <c r="C310" s="1"/>
      <c r="D310" s="73" t="n">
        <v>2029</v>
      </c>
      <c r="E310" s="81" t="n">
        <f aca="false">J309</f>
        <v>968.40355</v>
      </c>
      <c r="F310" s="81" t="n">
        <f aca="false">SUMIF(Inputs!$G$6:$L$6,D310,Inputs!$G$54:$L$54)/$F$279</f>
        <v>0</v>
      </c>
      <c r="G310" s="81" t="n">
        <f aca="false">(E310+F310)*$F$280</f>
        <v>12.105044375</v>
      </c>
      <c r="H310" s="81" t="n">
        <f aca="false">IF(D310&gt;=$F$282,$F$283-G310,0)</f>
        <v>133.241405722481</v>
      </c>
      <c r="I310" s="81" t="n">
        <f aca="false">G310+H310</f>
        <v>145.346450097481</v>
      </c>
      <c r="J310" s="81" t="n">
        <f aca="false">ROUND(E310+F310-H310,6)</f>
        <v>835.162144</v>
      </c>
      <c r="K310" s="1"/>
      <c r="L310" s="1"/>
      <c r="M310" s="1"/>
    </row>
    <row r="311" customFormat="false" ht="15" hidden="false" customHeight="false" outlineLevel="1" collapsed="false">
      <c r="A311" s="1"/>
      <c r="B311" s="34" t="s">
        <v>391</v>
      </c>
      <c r="C311" s="1"/>
      <c r="D311" s="73" t="n">
        <v>2029</v>
      </c>
      <c r="E311" s="81" t="n">
        <f aca="false">J310</f>
        <v>835.162144</v>
      </c>
      <c r="F311" s="81" t="n">
        <f aca="false">SUMIF(Inputs!$G$6:$L$6,D311,Inputs!$G$54:$L$54)/$F$279</f>
        <v>0</v>
      </c>
      <c r="G311" s="81" t="n">
        <f aca="false">(E311+F311)*$F$280</f>
        <v>10.4395268</v>
      </c>
      <c r="H311" s="81" t="n">
        <f aca="false">IF(D311&gt;=$F$282,$F$283-G311,0)</f>
        <v>134.906923297481</v>
      </c>
      <c r="I311" s="81" t="n">
        <f aca="false">G311+H311</f>
        <v>145.346450097481</v>
      </c>
      <c r="J311" s="81" t="n">
        <f aca="false">ROUND(E311+F311-H311,6)</f>
        <v>700.255221</v>
      </c>
      <c r="K311" s="1"/>
      <c r="L311" s="1"/>
      <c r="M311" s="1"/>
    </row>
    <row r="312" customFormat="false" ht="15" hidden="false" customHeight="false" outlineLevel="1" collapsed="false">
      <c r="A312" s="1"/>
      <c r="B312" s="34" t="s">
        <v>392</v>
      </c>
      <c r="C312" s="1"/>
      <c r="D312" s="73" t="n">
        <v>2029</v>
      </c>
      <c r="E312" s="81" t="n">
        <f aca="false">J311</f>
        <v>700.255221</v>
      </c>
      <c r="F312" s="81" t="n">
        <f aca="false">SUMIF(Inputs!$G$6:$L$6,D312,Inputs!$G$54:$L$54)/$F$279</f>
        <v>0</v>
      </c>
      <c r="G312" s="81" t="n">
        <f aca="false">(E312+F312)*$F$280</f>
        <v>8.7531902625</v>
      </c>
      <c r="H312" s="81" t="n">
        <f aca="false">IF(D312&gt;=$F$282,$F$283-G312,0)</f>
        <v>136.593259834981</v>
      </c>
      <c r="I312" s="81" t="n">
        <f aca="false">G312+H312</f>
        <v>145.346450097481</v>
      </c>
      <c r="J312" s="81" t="n">
        <f aca="false">ROUND(E312+F312-H312,6)</f>
        <v>563.661961</v>
      </c>
      <c r="K312" s="1"/>
      <c r="L312" s="1"/>
      <c r="M312" s="1"/>
    </row>
    <row r="313" customFormat="false" ht="15" hidden="false" customHeight="false" outlineLevel="1" collapsed="false">
      <c r="A313" s="1"/>
      <c r="B313" s="34" t="s">
        <v>393</v>
      </c>
      <c r="C313" s="1"/>
      <c r="D313" s="73" t="n">
        <v>2030</v>
      </c>
      <c r="E313" s="81" t="n">
        <f aca="false">J312</f>
        <v>563.661961</v>
      </c>
      <c r="F313" s="81" t="n">
        <f aca="false">SUMIF(Inputs!$G$6:$L$6,D313,Inputs!$G$54:$L$54)/$F$279</f>
        <v>0</v>
      </c>
      <c r="G313" s="81" t="n">
        <f aca="false">(E313+F313)*$F$280</f>
        <v>7.0457745125</v>
      </c>
      <c r="H313" s="81" t="n">
        <f aca="false">IF(D313&gt;=$F$282,$F$283-G313,0)</f>
        <v>138.300675584981</v>
      </c>
      <c r="I313" s="81" t="n">
        <f aca="false">G313+H313</f>
        <v>145.346450097481</v>
      </c>
      <c r="J313" s="81" t="n">
        <f aca="false">ROUND(E313+F313-H313,6)</f>
        <v>425.361285</v>
      </c>
      <c r="K313" s="1"/>
      <c r="L313" s="1"/>
      <c r="M313" s="1"/>
    </row>
    <row r="314" customFormat="false" ht="15" hidden="false" customHeight="false" outlineLevel="1" collapsed="false">
      <c r="A314" s="1"/>
      <c r="B314" s="34" t="s">
        <v>394</v>
      </c>
      <c r="C314" s="1"/>
      <c r="D314" s="73" t="n">
        <v>2030</v>
      </c>
      <c r="E314" s="81" t="n">
        <f aca="false">J313</f>
        <v>425.361285</v>
      </c>
      <c r="F314" s="81" t="n">
        <f aca="false">SUMIF(Inputs!$G$6:$L$6,D314,Inputs!$G$54:$L$54)/$F$279</f>
        <v>0</v>
      </c>
      <c r="G314" s="81" t="n">
        <f aca="false">(E314+F314)*$F$280</f>
        <v>5.3170160625</v>
      </c>
      <c r="H314" s="81" t="n">
        <f aca="false">IF(D314&gt;=$F$282,$F$283-G314,0)</f>
        <v>140.029434034981</v>
      </c>
      <c r="I314" s="81" t="n">
        <f aca="false">G314+H314</f>
        <v>145.346450097481</v>
      </c>
      <c r="J314" s="81" t="n">
        <f aca="false">ROUND(E314+F314-H314,6)</f>
        <v>285.331851</v>
      </c>
      <c r="K314" s="1"/>
      <c r="L314" s="1"/>
      <c r="M314" s="1"/>
    </row>
    <row r="315" customFormat="false" ht="15" hidden="false" customHeight="false" outlineLevel="1" collapsed="false">
      <c r="A315" s="1"/>
      <c r="B315" s="34" t="s">
        <v>395</v>
      </c>
      <c r="C315" s="1"/>
      <c r="D315" s="73" t="n">
        <v>2030</v>
      </c>
      <c r="E315" s="81" t="n">
        <f aca="false">J314</f>
        <v>285.331851</v>
      </c>
      <c r="F315" s="81" t="n">
        <f aca="false">SUMIF(Inputs!$G$6:$L$6,D315,Inputs!$G$54:$L$54)/$F$279</f>
        <v>0</v>
      </c>
      <c r="G315" s="81" t="n">
        <f aca="false">(E315+F315)*$F$280</f>
        <v>3.5666481375</v>
      </c>
      <c r="H315" s="81" t="n">
        <f aca="false">IF(D315&gt;=$F$282,$F$283-G315,0)</f>
        <v>141.779801959981</v>
      </c>
      <c r="I315" s="81" t="n">
        <f aca="false">G315+H315</f>
        <v>145.346450097481</v>
      </c>
      <c r="J315" s="81" t="n">
        <f aca="false">ROUND(E315+F315-H315,6)</f>
        <v>143.552049</v>
      </c>
      <c r="K315" s="1"/>
      <c r="L315" s="1"/>
      <c r="M315" s="1"/>
    </row>
    <row r="316" customFormat="false" ht="15" hidden="false" customHeight="false" outlineLevel="1" collapsed="false">
      <c r="A316" s="1"/>
      <c r="B316" s="34" t="s">
        <v>396</v>
      </c>
      <c r="C316" s="1"/>
      <c r="D316" s="73" t="n">
        <v>2030</v>
      </c>
      <c r="E316" s="81" t="n">
        <f aca="false">J315</f>
        <v>143.552049</v>
      </c>
      <c r="F316" s="81" t="n">
        <f aca="false">SUMIF(Inputs!$G$6:$L$6,D316,Inputs!$G$54:$L$54)/$F$279</f>
        <v>0</v>
      </c>
      <c r="G316" s="81" t="n">
        <f aca="false">(E316+F316)*$F$280</f>
        <v>1.7944006125</v>
      </c>
      <c r="H316" s="81" t="n">
        <f aca="false">IF(D316&gt;=$F$282,$F$283-G316,0)</f>
        <v>143.552049484981</v>
      </c>
      <c r="I316" s="81" t="n">
        <f aca="false">G316+H316</f>
        <v>145.346450097481</v>
      </c>
      <c r="J316" s="81" t="n">
        <f aca="false">ROUND(E316+F316-H316,6)</f>
        <v>-0</v>
      </c>
      <c r="K316" s="1"/>
      <c r="L316" s="1"/>
      <c r="M316" s="1"/>
    </row>
    <row r="317" customFormat="false" ht="15" hidden="false" customHeight="false" outlineLevel="1" collapsed="false">
      <c r="A317" s="1"/>
      <c r="B317" s="49" t="s">
        <v>313</v>
      </c>
      <c r="C317" s="82"/>
      <c r="D317" s="82"/>
      <c r="E317" s="82"/>
      <c r="F317" s="83" t="n">
        <f aca="false">SUM(F297:F316)</f>
        <v>1100</v>
      </c>
      <c r="G317" s="83" t="n">
        <f aca="false">SUM(G297:G316)</f>
        <v>154.0216007625</v>
      </c>
      <c r="H317" s="83" t="n">
        <f aca="false">SUM(H297:H316)</f>
        <v>1100.00000001735</v>
      </c>
      <c r="I317" s="83" t="n">
        <f aca="false">SUM(I297:I316)</f>
        <v>1254.02160077985</v>
      </c>
      <c r="J317" s="83" t="n">
        <f aca="false">J316</f>
        <v>-0</v>
      </c>
      <c r="K317" s="1"/>
      <c r="L317" s="1"/>
      <c r="M317" s="1"/>
    </row>
    <row r="318" customFormat="false" ht="1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customFormat="false" ht="21" hidden="false" customHeight="true" outlineLevel="0" collapsed="false">
      <c r="A319" s="1"/>
      <c r="B319" s="26" t="s">
        <v>26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1"/>
    </row>
    <row r="320" customFormat="false" ht="15" hidden="false" customHeight="false" outlineLevel="1" collapsed="false">
      <c r="A320" s="1"/>
      <c r="B320" s="27" t="s">
        <v>49</v>
      </c>
      <c r="C320" s="1"/>
      <c r="D320" s="28"/>
      <c r="E320" s="28"/>
      <c r="F320" s="29" t="s">
        <v>164</v>
      </c>
      <c r="G320" s="28"/>
      <c r="H320" s="28"/>
      <c r="I320" s="28"/>
      <c r="J320" s="28"/>
      <c r="K320" s="28"/>
      <c r="L320" s="29" t="s">
        <v>50</v>
      </c>
      <c r="M320" s="1"/>
    </row>
    <row r="321" customFormat="false" ht="15" hidden="false" customHeight="false" outlineLevel="1" collapsed="false">
      <c r="A321" s="1"/>
      <c r="B321" s="1"/>
      <c r="C321" s="1"/>
      <c r="D321" s="44" t="n">
        <f aca="false">D$5</f>
        <v>2022</v>
      </c>
      <c r="E321" s="44" t="n">
        <f aca="false">E$5</f>
        <v>2023</v>
      </c>
      <c r="F321" s="44" t="n">
        <f aca="false">F$5</f>
        <v>2024</v>
      </c>
      <c r="G321" s="31" t="n">
        <f aca="false">G$5</f>
        <v>2025</v>
      </c>
      <c r="H321" s="31" t="n">
        <f aca="false">H$5</f>
        <v>2026</v>
      </c>
      <c r="I321" s="31" t="n">
        <f aca="false">I$5</f>
        <v>2027</v>
      </c>
      <c r="J321" s="31" t="n">
        <f aca="false">J$5</f>
        <v>2028</v>
      </c>
      <c r="K321" s="31" t="n">
        <f aca="false">K$5</f>
        <v>2029</v>
      </c>
      <c r="L321" s="31" t="n">
        <f aca="false">L$5</f>
        <v>2030</v>
      </c>
      <c r="M321" s="1"/>
    </row>
    <row r="322" customFormat="false" ht="15" hidden="false" customHeight="false" outlineLevel="1" collapsed="false">
      <c r="A322" s="1"/>
      <c r="B322" s="33" t="s">
        <v>397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customFormat="false" ht="15" hidden="false" customHeight="false" outlineLevel="1" collapsed="false">
      <c r="A323" s="1"/>
      <c r="B323" s="34" t="s">
        <v>398</v>
      </c>
      <c r="C323" s="1"/>
      <c r="D323" s="45" t="n">
        <f aca="false">D6</f>
        <v>5095.254</v>
      </c>
      <c r="E323" s="45" t="n">
        <f aca="false">E6</f>
        <v>5970.146</v>
      </c>
      <c r="F323" s="45" t="n">
        <f aca="false">F6</f>
        <v>6676.668</v>
      </c>
      <c r="G323" s="45" t="n">
        <f aca="false">G6</f>
        <v>7106.93657668979</v>
      </c>
      <c r="H323" s="45" t="n">
        <f aca="false">H6</f>
        <v>7457.03290319429</v>
      </c>
      <c r="I323" s="45" t="n">
        <f aca="false">I6</f>
        <v>7824.55437723402</v>
      </c>
      <c r="J323" s="45" t="n">
        <f aca="false">J6</f>
        <v>8210.37746839717</v>
      </c>
      <c r="K323" s="45" t="n">
        <f aca="false">K6</f>
        <v>8615.42319768823</v>
      </c>
      <c r="L323" s="45" t="n">
        <f aca="false">L6</f>
        <v>9040.65942549087</v>
      </c>
      <c r="M323" s="1"/>
    </row>
    <row r="324" customFormat="false" ht="15" hidden="false" customHeight="false" outlineLevel="1" collapsed="false">
      <c r="A324" s="1"/>
      <c r="B324" s="34" t="s">
        <v>399</v>
      </c>
      <c r="C324" s="1"/>
      <c r="D324" s="45"/>
      <c r="E324" s="45"/>
      <c r="F324" s="45"/>
      <c r="G324" s="45" t="n">
        <f aca="false">G238</f>
        <v>0</v>
      </c>
      <c r="H324" s="45" t="n">
        <f aca="false">H238</f>
        <v>0</v>
      </c>
      <c r="I324" s="45" t="n">
        <f aca="false">I238</f>
        <v>0</v>
      </c>
      <c r="J324" s="45" t="n">
        <f aca="false">J238</f>
        <v>0</v>
      </c>
      <c r="K324" s="45" t="n">
        <f aca="false">K238</f>
        <v>1080</v>
      </c>
      <c r="L324" s="45" t="n">
        <f aca="false">L238</f>
        <v>720</v>
      </c>
      <c r="M324" s="1"/>
    </row>
    <row r="325" customFormat="false" ht="15" hidden="false" customHeight="false" outlineLevel="1" collapsed="false">
      <c r="A325" s="1"/>
      <c r="B325" s="46" t="s">
        <v>165</v>
      </c>
      <c r="C325" s="47"/>
      <c r="D325" s="48" t="n">
        <f aca="false">SUM(D323:D324)</f>
        <v>5095.254</v>
      </c>
      <c r="E325" s="48" t="n">
        <f aca="false">SUM(E323:E324)</f>
        <v>5970.146</v>
      </c>
      <c r="F325" s="48" t="n">
        <f aca="false">SUM(F323:F324)</f>
        <v>6676.668</v>
      </c>
      <c r="G325" s="48" t="n">
        <f aca="false">SUM(G323:G324)</f>
        <v>7106.93657668979</v>
      </c>
      <c r="H325" s="48" t="n">
        <f aca="false">SUM(H323:H324)</f>
        <v>7457.03290319429</v>
      </c>
      <c r="I325" s="48" t="n">
        <f aca="false">SUM(I323:I324)</f>
        <v>7824.55437723402</v>
      </c>
      <c r="J325" s="48" t="n">
        <f aca="false">SUM(J323:J324)</f>
        <v>8210.37746839717</v>
      </c>
      <c r="K325" s="48" t="n">
        <f aca="false">SUM(K323:K324)</f>
        <v>9695.42319768823</v>
      </c>
      <c r="L325" s="48" t="n">
        <f aca="false">SUM(L323:L324)</f>
        <v>9760.65942549087</v>
      </c>
      <c r="M325" s="1"/>
    </row>
    <row r="326" customFormat="false" ht="15" hidden="false" customHeight="false" outlineLevel="1" collapsed="false">
      <c r="A326" s="1"/>
      <c r="B326" s="34" t="s">
        <v>400</v>
      </c>
      <c r="C326" s="1"/>
      <c r="D326" s="45" t="n">
        <f aca="false">D7</f>
        <v>-2648.953</v>
      </c>
      <c r="E326" s="45" t="n">
        <f aca="false">E7</f>
        <v>-2995.877</v>
      </c>
      <c r="F326" s="45" t="n">
        <f aca="false">F7</f>
        <v>-3329.483</v>
      </c>
      <c r="G326" s="45" t="n">
        <f aca="false">G7</f>
        <v>-3517.93360546145</v>
      </c>
      <c r="H326" s="45" t="n">
        <f aca="false">H7</f>
        <v>-3676.31722127478</v>
      </c>
      <c r="I326" s="45" t="n">
        <f aca="false">I7</f>
        <v>-3841.8561992219</v>
      </c>
      <c r="J326" s="45" t="n">
        <f aca="false">J7</f>
        <v>-4014.87458204622</v>
      </c>
      <c r="K326" s="45" t="n">
        <f aca="false">K7</f>
        <v>-4195.71109727417</v>
      </c>
      <c r="L326" s="45" t="n">
        <f aca="false">L7</f>
        <v>-4384.71982136307</v>
      </c>
      <c r="M326" s="1"/>
    </row>
    <row r="327" customFormat="false" ht="15" hidden="false" customHeight="false" outlineLevel="1" collapsed="false">
      <c r="A327" s="1"/>
      <c r="B327" s="34" t="s">
        <v>401</v>
      </c>
      <c r="C327" s="1"/>
      <c r="D327" s="45"/>
      <c r="E327" s="45"/>
      <c r="F327" s="45"/>
      <c r="G327" s="45" t="n">
        <f aca="false">G239</f>
        <v>-0</v>
      </c>
      <c r="H327" s="45" t="n">
        <f aca="false">H239</f>
        <v>-0</v>
      </c>
      <c r="I327" s="45" t="n">
        <f aca="false">I239</f>
        <v>-0</v>
      </c>
      <c r="J327" s="45" t="n">
        <f aca="false">J239</f>
        <v>-0</v>
      </c>
      <c r="K327" s="45" t="n">
        <f aca="false">K239</f>
        <v>-855</v>
      </c>
      <c r="L327" s="45" t="n">
        <f aca="false">L239</f>
        <v>-570</v>
      </c>
      <c r="M327" s="1"/>
    </row>
    <row r="328" customFormat="false" ht="15" hidden="false" customHeight="false" outlineLevel="1" collapsed="false">
      <c r="A328" s="1"/>
      <c r="B328" s="34" t="s">
        <v>402</v>
      </c>
      <c r="C328" s="1"/>
      <c r="D328" s="45" t="n">
        <f aca="false">D9+D10+D11+D12</f>
        <v>-1218.919</v>
      </c>
      <c r="E328" s="45" t="n">
        <f aca="false">E9+E10+E11+E12</f>
        <v>-1356.9</v>
      </c>
      <c r="F328" s="45" t="n">
        <f aca="false">F9+F10+F11+F12</f>
        <v>-1459.434</v>
      </c>
      <c r="G328" s="45" t="n">
        <f aca="false">G9+G10+G11+G12</f>
        <v>-1541.31217371837</v>
      </c>
      <c r="H328" s="45" t="n">
        <f aca="false">H9+H10+H11+H12</f>
        <v>-1617.63317289635</v>
      </c>
      <c r="I328" s="45" t="n">
        <f aca="false">I9+I10+I11+I12</f>
        <v>-1697.75285423702</v>
      </c>
      <c r="J328" s="45" t="n">
        <f aca="false">J9+J10+J11+J12</f>
        <v>-1781.86228811058</v>
      </c>
      <c r="K328" s="45" t="n">
        <f aca="false">K9+K10+K11+K12</f>
        <v>-1870.16225709603</v>
      </c>
      <c r="L328" s="45" t="n">
        <f aca="false">L9+L10+L11+L12</f>
        <v>-1962.86375475701</v>
      </c>
      <c r="M328" s="1"/>
    </row>
    <row r="329" customFormat="false" ht="15" hidden="false" customHeight="false" outlineLevel="1" collapsed="false">
      <c r="A329" s="1"/>
      <c r="B329" s="46" t="s">
        <v>167</v>
      </c>
      <c r="C329" s="47"/>
      <c r="D329" s="48" t="n">
        <f aca="false">SUM(D325,D326:D328)</f>
        <v>1227.382</v>
      </c>
      <c r="E329" s="48" t="n">
        <f aca="false">SUM(E325,E326:E328)</f>
        <v>1617.369</v>
      </c>
      <c r="F329" s="48" t="n">
        <f aca="false">SUM(F325,F326:F328)</f>
        <v>1887.751</v>
      </c>
      <c r="G329" s="48" t="n">
        <f aca="false">SUM(G325,G326:G328)</f>
        <v>2047.69079750997</v>
      </c>
      <c r="H329" s="48" t="n">
        <f aca="false">SUM(H325,H326:H328)</f>
        <v>2163.08250902315</v>
      </c>
      <c r="I329" s="48" t="n">
        <f aca="false">SUM(I325,I326:I328)</f>
        <v>2284.9453237751</v>
      </c>
      <c r="J329" s="48" t="n">
        <f aca="false">SUM(J325,J326:J328)</f>
        <v>2413.64059824037</v>
      </c>
      <c r="K329" s="48" t="n">
        <f aca="false">SUM(K325,K326:K328)</f>
        <v>2774.54984331803</v>
      </c>
      <c r="L329" s="48" t="n">
        <f aca="false">SUM(L325,L326:L328)</f>
        <v>2843.07584937079</v>
      </c>
      <c r="M329" s="1"/>
    </row>
    <row r="330" customFormat="false" ht="15" hidden="false" customHeight="false" outlineLevel="1" collapsed="false">
      <c r="A330" s="1"/>
      <c r="B330" s="34" t="s">
        <v>168</v>
      </c>
      <c r="C330" s="1"/>
      <c r="D330" s="45" t="n">
        <f aca="false">D14</f>
        <v>83.858</v>
      </c>
      <c r="E330" s="45" t="n">
        <f aca="false">E14</f>
        <v>132.319</v>
      </c>
      <c r="F330" s="45" t="n">
        <f aca="false">F14</f>
        <v>147.1</v>
      </c>
      <c r="G330" s="45" t="n">
        <f aca="false">F345*Inputs!G44</f>
        <v>34.84428</v>
      </c>
      <c r="H330" s="45" t="n">
        <f aca="false">G345*Inputs!H44</f>
        <v>36.4582869616769</v>
      </c>
      <c r="I330" s="45" t="n">
        <f aca="false">H345*Inputs!I44</f>
        <v>38.2839282327267</v>
      </c>
      <c r="J330" s="45" t="n">
        <f aca="false">I345*Inputs!J44</f>
        <v>40.905488460754</v>
      </c>
      <c r="K330" s="45" t="n">
        <f aca="false">J345*Inputs!K44</f>
        <v>44.3339364475348</v>
      </c>
      <c r="L330" s="45" t="n">
        <f aca="false">K345*Inputs!L44</f>
        <v>58.7297897714962</v>
      </c>
      <c r="M330" s="1"/>
    </row>
    <row r="331" customFormat="false" ht="15" hidden="false" customHeight="false" outlineLevel="1" collapsed="false">
      <c r="A331" s="1"/>
      <c r="B331" s="34" t="s">
        <v>403</v>
      </c>
      <c r="C331" s="1"/>
      <c r="D331" s="45" t="n">
        <f aca="false">D15</f>
        <v>-133.474</v>
      </c>
      <c r="E331" s="45" t="n">
        <f aca="false">E15</f>
        <v>-147.334</v>
      </c>
      <c r="F331" s="45" t="n">
        <f aca="false">F15</f>
        <v>-145.895</v>
      </c>
      <c r="G331" s="45" t="n">
        <f aca="false">G15</f>
        <v>-147.483072</v>
      </c>
      <c r="H331" s="45" t="n">
        <f aca="false">H15</f>
        <v>-147.483072</v>
      </c>
      <c r="I331" s="45" t="n">
        <f aca="false">I15</f>
        <v>-147.483072</v>
      </c>
      <c r="J331" s="45" t="n">
        <f aca="false">J15</f>
        <v>-147.483072</v>
      </c>
      <c r="K331" s="45" t="n">
        <f aca="false">K15</f>
        <v>-147.483072</v>
      </c>
      <c r="L331" s="45" t="n">
        <f aca="false">L15</f>
        <v>-147.483072</v>
      </c>
      <c r="M331" s="1"/>
    </row>
    <row r="332" customFormat="false" ht="15" hidden="false" customHeight="false" outlineLevel="1" collapsed="false">
      <c r="A332" s="1"/>
      <c r="B332" s="34" t="s">
        <v>331</v>
      </c>
      <c r="C332" s="1"/>
      <c r="D332" s="45"/>
      <c r="E332" s="45"/>
      <c r="F332" s="45"/>
      <c r="G332" s="45" t="n">
        <f aca="false">-G291</f>
        <v>-0</v>
      </c>
      <c r="H332" s="45" t="n">
        <f aca="false">-H291</f>
        <v>-10.9375</v>
      </c>
      <c r="I332" s="45" t="n">
        <f aca="false">-I291</f>
        <v>-31.171875</v>
      </c>
      <c r="J332" s="45" t="n">
        <f aca="false">-J291</f>
        <v>-49.140625</v>
      </c>
      <c r="K332" s="45" t="n">
        <f aca="false">-K291</f>
        <v>-45.0477614375</v>
      </c>
      <c r="L332" s="45" t="n">
        <f aca="false">-L291</f>
        <v>-17.723839325</v>
      </c>
      <c r="M332" s="1"/>
    </row>
    <row r="333" customFormat="false" ht="15" hidden="false" customHeight="false" outlineLevel="1" collapsed="false">
      <c r="A333" s="1"/>
      <c r="B333" s="46" t="s">
        <v>170</v>
      </c>
      <c r="C333" s="47"/>
      <c r="D333" s="48" t="n">
        <f aca="false">SUM(D329,D330:D332)</f>
        <v>1177.766</v>
      </c>
      <c r="E333" s="48" t="n">
        <f aca="false">SUM(E329,E330:E332)</f>
        <v>1602.354</v>
      </c>
      <c r="F333" s="48" t="n">
        <f aca="false">SUM(F329,F330:F332)</f>
        <v>1888.956</v>
      </c>
      <c r="G333" s="48" t="n">
        <f aca="false">SUM(G329,G330:G332)</f>
        <v>1935.05200550997</v>
      </c>
      <c r="H333" s="48" t="n">
        <f aca="false">SUM(H329,H330:H332)</f>
        <v>2041.12022398483</v>
      </c>
      <c r="I333" s="48" t="n">
        <f aca="false">SUM(I329,I330:I332)</f>
        <v>2144.57430500783</v>
      </c>
      <c r="J333" s="48" t="n">
        <f aca="false">SUM(J329,J330:J332)</f>
        <v>2257.92238970112</v>
      </c>
      <c r="K333" s="48" t="n">
        <f aca="false">SUM(K329,K330:K332)</f>
        <v>2626.35294632806</v>
      </c>
      <c r="L333" s="48" t="n">
        <f aca="false">SUM(L329,L330:L332)</f>
        <v>2736.59872781729</v>
      </c>
      <c r="M333" s="1"/>
    </row>
    <row r="334" customFormat="false" ht="15" hidden="false" customHeight="false" outlineLevel="1" collapsed="false">
      <c r="A334" s="1"/>
      <c r="B334" s="34" t="s">
        <v>171</v>
      </c>
      <c r="C334" s="1"/>
      <c r="D334" s="45" t="n">
        <f aca="false">D17</f>
        <v>-238.472</v>
      </c>
      <c r="E334" s="45" t="n">
        <f aca="false">E17</f>
        <v>-344.897</v>
      </c>
      <c r="F334" s="45" t="n">
        <f aca="false">F17</f>
        <v>-363.043</v>
      </c>
      <c r="G334" s="45" t="n">
        <f aca="false">-(G333-G250)*Inputs!G21+G251</f>
        <v>-387.010401101994</v>
      </c>
      <c r="H334" s="45" t="n">
        <f aca="false">-(H333-H250)*Inputs!H21+H251</f>
        <v>-407.644357296965</v>
      </c>
      <c r="I334" s="45" t="n">
        <f aca="false">-(I333-I250)*Inputs!I21+I251</f>
        <v>-427.262751626565</v>
      </c>
      <c r="J334" s="45" t="n">
        <f aca="false">-(J333-J250)*Inputs!J21+J251</f>
        <v>-448.980024815225</v>
      </c>
      <c r="K334" s="45" t="n">
        <f aca="false">-(K333-K250)*Inputs!K21+K251</f>
        <v>-534.808057909425</v>
      </c>
      <c r="L334" s="45" t="n">
        <f aca="false">-(L333-L250)*Inputs!L21+L251</f>
        <v>-554.330382079232</v>
      </c>
      <c r="M334" s="1"/>
    </row>
    <row r="335" customFormat="false" ht="15" hidden="false" customHeight="false" outlineLevel="1" collapsed="false">
      <c r="A335" s="1"/>
      <c r="B335" s="49" t="s">
        <v>172</v>
      </c>
      <c r="C335" s="50"/>
      <c r="D335" s="51" t="n">
        <f aca="false">SUM(D333:D334)</f>
        <v>939.294</v>
      </c>
      <c r="E335" s="51" t="n">
        <f aca="false">SUM(E333:E334)</f>
        <v>1257.457</v>
      </c>
      <c r="F335" s="51" t="n">
        <f aca="false">SUM(F333:F334)</f>
        <v>1525.913</v>
      </c>
      <c r="G335" s="51" t="n">
        <f aca="false">SUM(G333:G334)</f>
        <v>1548.04160440798</v>
      </c>
      <c r="H335" s="51" t="n">
        <f aca="false">SUM(H333:H334)</f>
        <v>1633.47586668786</v>
      </c>
      <c r="I335" s="51" t="n">
        <f aca="false">SUM(I333:I334)</f>
        <v>1717.31155338126</v>
      </c>
      <c r="J335" s="51" t="n">
        <f aca="false">SUM(J333:J334)</f>
        <v>1808.9423648859</v>
      </c>
      <c r="K335" s="51" t="n">
        <f aca="false">SUM(K333:K334)</f>
        <v>2091.54488841864</v>
      </c>
      <c r="L335" s="51" t="n">
        <f aca="false">SUM(L333:L334)</f>
        <v>2182.26834573805</v>
      </c>
      <c r="M335" s="1"/>
    </row>
    <row r="336" customFormat="false" ht="15" hidden="false" customHeight="false" outlineLevel="1" collapsed="false">
      <c r="A336" s="1"/>
      <c r="B336" s="52" t="s">
        <v>173</v>
      </c>
      <c r="C336" s="1"/>
      <c r="D336" s="45" t="n">
        <f aca="false">D19</f>
        <v>6.68</v>
      </c>
      <c r="E336" s="45" t="n">
        <f aca="false">E19</f>
        <v>5.409</v>
      </c>
      <c r="F336" s="45" t="n">
        <f aca="false">F19</f>
        <v>4.036</v>
      </c>
      <c r="G336" s="45" t="n">
        <f aca="false">G19</f>
        <v>4.64412481322393</v>
      </c>
      <c r="H336" s="45" t="n">
        <f aca="false">H19</f>
        <v>4.93633853756358</v>
      </c>
      <c r="I336" s="45" t="n">
        <f aca="false">I19</f>
        <v>5.23796540701878</v>
      </c>
      <c r="J336" s="45" t="n">
        <f aca="false">J19</f>
        <v>5.5542724722327</v>
      </c>
      <c r="K336" s="45" t="n">
        <f aca="false">K19</f>
        <v>5.89017146484855</v>
      </c>
      <c r="L336" s="45" t="n">
        <f aca="false">L19</f>
        <v>6.2469210915994</v>
      </c>
      <c r="M336" s="1"/>
    </row>
    <row r="337" customFormat="false" ht="15" hidden="false" customHeight="false" outlineLevel="1" collapsed="false">
      <c r="A337" s="1"/>
      <c r="B337" s="52" t="s">
        <v>174</v>
      </c>
      <c r="C337" s="1"/>
      <c r="D337" s="45" t="n">
        <f aca="false">D335-D336</f>
        <v>932.614</v>
      </c>
      <c r="E337" s="45" t="n">
        <f aca="false">E335-E336</f>
        <v>1252.048</v>
      </c>
      <c r="F337" s="45" t="n">
        <f aca="false">F335-F336</f>
        <v>1521.877</v>
      </c>
      <c r="G337" s="45" t="n">
        <f aca="false">G335-G336</f>
        <v>1543.39747959475</v>
      </c>
      <c r="H337" s="45" t="n">
        <f aca="false">H335-H336</f>
        <v>1628.5395281503</v>
      </c>
      <c r="I337" s="45" t="n">
        <f aca="false">I335-I336</f>
        <v>1712.07358797424</v>
      </c>
      <c r="J337" s="45" t="n">
        <f aca="false">J335-J336</f>
        <v>1803.38809241367</v>
      </c>
      <c r="K337" s="45" t="n">
        <f aca="false">K335-K336</f>
        <v>2085.65471695379</v>
      </c>
      <c r="L337" s="45" t="n">
        <f aca="false">L335-L336</f>
        <v>2176.02142464645</v>
      </c>
      <c r="M337" s="1"/>
    </row>
    <row r="338" customFormat="false" ht="15" hidden="false" customHeight="false" outlineLevel="1" collapsed="false">
      <c r="A338" s="1"/>
      <c r="B338" s="34" t="s">
        <v>177</v>
      </c>
      <c r="C338" s="1"/>
      <c r="D338" s="45" t="n">
        <f aca="false">D329+D22</f>
        <v>1773.607</v>
      </c>
      <c r="E338" s="45" t="n">
        <f aca="false">E329+E22</f>
        <v>2279.674</v>
      </c>
      <c r="F338" s="45" t="n">
        <f aca="false">F329+F22</f>
        <v>2554.528</v>
      </c>
      <c r="G338" s="45" t="n">
        <f aca="false">G329+G22</f>
        <v>2727.10242950997</v>
      </c>
      <c r="H338" s="45" t="n">
        <f aca="false">H329+H22</f>
        <v>2861.36308604262</v>
      </c>
      <c r="I338" s="45" t="n">
        <f aca="false">I329+I22</f>
        <v>3007.95260595864</v>
      </c>
      <c r="J338" s="45" t="n">
        <f aca="false">J329+J22</f>
        <v>3166.05712110743</v>
      </c>
      <c r="K338" s="45" t="n">
        <f aca="false">K329+K22</f>
        <v>3560.23928427437</v>
      </c>
      <c r="L338" s="45" t="n">
        <f aca="false">L329+L22</f>
        <v>3665.34285617944</v>
      </c>
      <c r="M338" s="1"/>
    </row>
    <row r="339" customFormat="false" ht="15" hidden="false" customHeight="false" outlineLevel="1" collapsed="false">
      <c r="A339" s="1"/>
      <c r="B339" s="34" t="s">
        <v>404</v>
      </c>
      <c r="C339" s="1"/>
      <c r="D339" s="45" t="n">
        <f aca="false">D335-D18</f>
        <v>0</v>
      </c>
      <c r="E339" s="45" t="n">
        <f aca="false">E335-E18</f>
        <v>0</v>
      </c>
      <c r="F339" s="45" t="n">
        <f aca="false">F335-F18</f>
        <v>0</v>
      </c>
      <c r="G339" s="45" t="n">
        <f aca="false">G335-G18</f>
        <v>0</v>
      </c>
      <c r="H339" s="45" t="n">
        <f aca="false">H335-H18</f>
        <v>-11.9703125000003</v>
      </c>
      <c r="I339" s="45" t="n">
        <f aca="false">I335-I18</f>
        <v>-28.6769156249995</v>
      </c>
      <c r="J339" s="45" t="n">
        <f aca="false">J335-J18</f>
        <v>-42.4817925249993</v>
      </c>
      <c r="K339" s="45" t="n">
        <f aca="false">K335-K18</f>
        <v>128.154400135787</v>
      </c>
      <c r="L339" s="45" t="n">
        <f aca="false">L335-L18</f>
        <v>99.9613152049187</v>
      </c>
      <c r="M339" s="1"/>
    </row>
    <row r="340" customFormat="false" ht="15" hidden="false" customHeight="false" outlineLevel="1" collapsed="false">
      <c r="A340" s="1"/>
      <c r="B340" s="33" t="s">
        <v>405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customFormat="false" ht="15" hidden="false" customHeight="false" outlineLevel="1" collapsed="false">
      <c r="A341" s="1"/>
      <c r="B341" s="34" t="s">
        <v>406</v>
      </c>
      <c r="C341" s="1"/>
      <c r="D341" s="45" t="n">
        <f aca="false">D60</f>
        <v>3813.311</v>
      </c>
      <c r="E341" s="45" t="n">
        <f aca="false">E60</f>
        <v>4065.305</v>
      </c>
      <c r="F341" s="45" t="n">
        <f aca="false">F60</f>
        <v>4477.243</v>
      </c>
      <c r="G341" s="45" t="n">
        <f aca="false">G60</f>
        <v>4615.12907431933</v>
      </c>
      <c r="H341" s="45" t="n">
        <f aca="false">H60</f>
        <v>4774.4072811672</v>
      </c>
      <c r="I341" s="45" t="n">
        <f aca="false">I60</f>
        <v>4951.22375236557</v>
      </c>
      <c r="J341" s="45" t="n">
        <f aca="false">J60</f>
        <v>5143.00063836418</v>
      </c>
      <c r="K341" s="45" t="n">
        <f aca="false">K60</f>
        <v>5348.08486514198</v>
      </c>
      <c r="L341" s="45" t="n">
        <f aca="false">L60</f>
        <v>5565.49369226478</v>
      </c>
      <c r="M341" s="1"/>
    </row>
    <row r="342" customFormat="false" ht="15" hidden="false" customHeight="false" outlineLevel="1" collapsed="false">
      <c r="A342" s="1"/>
      <c r="B342" s="34" t="s">
        <v>407</v>
      </c>
      <c r="C342" s="1"/>
      <c r="D342" s="45" t="n">
        <f aca="false">D61</f>
        <v>674.662</v>
      </c>
      <c r="E342" s="45" t="n">
        <f aca="false">E61</f>
        <v>948.514</v>
      </c>
      <c r="F342" s="45" t="n">
        <f aca="false">F61</f>
        <v>1088.194</v>
      </c>
      <c r="G342" s="45" t="n">
        <f aca="false">G61</f>
        <v>1146.94273712305</v>
      </c>
      <c r="H342" s="45" t="n">
        <f aca="false">H61</f>
        <v>1198.58013515534</v>
      </c>
      <c r="I342" s="45" t="n">
        <f aca="false">I61</f>
        <v>1252.55037728057</v>
      </c>
      <c r="J342" s="45" t="n">
        <f aca="false">J61</f>
        <v>1308.95911031096</v>
      </c>
      <c r="K342" s="45" t="n">
        <f aca="false">K61</f>
        <v>1367.91676870035</v>
      </c>
      <c r="L342" s="45" t="n">
        <f aca="false">L61</f>
        <v>1429.53879107454</v>
      </c>
      <c r="M342" s="1"/>
    </row>
    <row r="343" customFormat="false" ht="15" hidden="false" customHeight="false" outlineLevel="1" collapsed="false">
      <c r="A343" s="1"/>
      <c r="B343" s="34" t="s">
        <v>408</v>
      </c>
      <c r="C343" s="1"/>
      <c r="D343" s="45"/>
      <c r="E343" s="45"/>
      <c r="F343" s="45"/>
      <c r="G343" s="45" t="n">
        <f aca="false">G246</f>
        <v>237.5</v>
      </c>
      <c r="H343" s="45" t="n">
        <f aca="false">H246</f>
        <v>675</v>
      </c>
      <c r="I343" s="45" t="n">
        <f aca="false">I246</f>
        <v>1112.5</v>
      </c>
      <c r="J343" s="45" t="n">
        <f aca="false">J246</f>
        <v>1425</v>
      </c>
      <c r="K343" s="45" t="n">
        <f aca="false">K246</f>
        <v>570</v>
      </c>
      <c r="L343" s="45" t="n">
        <f aca="false">L246</f>
        <v>0</v>
      </c>
      <c r="M343" s="1"/>
    </row>
    <row r="344" customFormat="false" ht="15" hidden="false" customHeight="false" outlineLevel="1" collapsed="false">
      <c r="A344" s="1"/>
      <c r="B344" s="34" t="s">
        <v>409</v>
      </c>
      <c r="C344" s="1"/>
      <c r="D344" s="45" t="n">
        <f aca="false">D62+D63+D64+D65+D66</f>
        <v>1888.949</v>
      </c>
      <c r="E344" s="45" t="n">
        <f aca="false">E62+E63+E64+E65+E66</f>
        <v>1915.512</v>
      </c>
      <c r="F344" s="45" t="n">
        <f aca="false">F62+F63+F64+F65+F66</f>
        <v>2189.495</v>
      </c>
      <c r="G344" s="45" t="n">
        <f aca="false">G62+G63+G64+G65+G66</f>
        <v>2329.7469988764</v>
      </c>
      <c r="H344" s="45" t="n">
        <f aca="false">H62+H63+H64+H65+H66</f>
        <v>2442.4971993712</v>
      </c>
      <c r="I344" s="45" t="n">
        <f aca="false">I62+I63+I64+I65+I66</f>
        <v>2560.85925217496</v>
      </c>
      <c r="J344" s="45" t="n">
        <f aca="false">J62+J63+J64+J65+J66</f>
        <v>2685.11542852079</v>
      </c>
      <c r="K344" s="45" t="n">
        <f aca="false">K62+K63+K64+K65+K66</f>
        <v>2815.56234763905</v>
      </c>
      <c r="L344" s="45" t="n">
        <f aca="false">L62+L63+L64+L65+L66</f>
        <v>2952.51171360672</v>
      </c>
      <c r="M344" s="1"/>
    </row>
    <row r="345" customFormat="false" ht="15" hidden="false" customHeight="false" outlineLevel="1" collapsed="false">
      <c r="A345" s="1"/>
      <c r="B345" s="34" t="s">
        <v>207</v>
      </c>
      <c r="C345" s="1"/>
      <c r="D345" s="45" t="n">
        <f aca="false">D67</f>
        <v>1388.901</v>
      </c>
      <c r="E345" s="45" t="n">
        <f aca="false">E67</f>
        <v>1121.981</v>
      </c>
      <c r="F345" s="45" t="n">
        <f aca="false">F67</f>
        <v>1742.214</v>
      </c>
      <c r="G345" s="45" t="n">
        <f aca="false">G374</f>
        <v>1822.91434808384</v>
      </c>
      <c r="H345" s="45" t="n">
        <f aca="false">H374</f>
        <v>1914.19641163633</v>
      </c>
      <c r="I345" s="45" t="n">
        <f aca="false">I374</f>
        <v>2045.2744230377</v>
      </c>
      <c r="J345" s="45" t="n">
        <f aca="false">J374</f>
        <v>2216.69682237674</v>
      </c>
      <c r="K345" s="45" t="n">
        <f aca="false">K374</f>
        <v>2936.48948857481</v>
      </c>
      <c r="L345" s="45" t="n">
        <f aca="false">L374</f>
        <v>3306.2329273496</v>
      </c>
      <c r="M345" s="1"/>
    </row>
    <row r="346" customFormat="false" ht="15" hidden="false" customHeight="false" outlineLevel="1" collapsed="false">
      <c r="A346" s="1"/>
      <c r="B346" s="49" t="s">
        <v>209</v>
      </c>
      <c r="C346" s="50"/>
      <c r="D346" s="51" t="n">
        <f aca="false">SUM(D341:D345)</f>
        <v>7765.823</v>
      </c>
      <c r="E346" s="51" t="n">
        <f aca="false">SUM(E341:E345)</f>
        <v>8051.312</v>
      </c>
      <c r="F346" s="51" t="n">
        <f aca="false">SUM(F341:F345)</f>
        <v>9497.146</v>
      </c>
      <c r="G346" s="51" t="n">
        <f aca="false">SUM(G341:G345)</f>
        <v>10152.2331584026</v>
      </c>
      <c r="H346" s="51" t="n">
        <f aca="false">SUM(H341:H345)</f>
        <v>11004.6810273301</v>
      </c>
      <c r="I346" s="51" t="n">
        <f aca="false">SUM(I341:I345)</f>
        <v>11922.4078048588</v>
      </c>
      <c r="J346" s="51" t="n">
        <f aca="false">SUM(J341:J345)</f>
        <v>12778.7719995727</v>
      </c>
      <c r="K346" s="51" t="n">
        <f aca="false">SUM(K341:K345)</f>
        <v>13038.0534700562</v>
      </c>
      <c r="L346" s="51" t="n">
        <f aca="false">SUM(L341:L345)</f>
        <v>13253.7771242956</v>
      </c>
      <c r="M346" s="1"/>
    </row>
    <row r="347" customFormat="false" ht="15" hidden="false" customHeight="false" outlineLevel="1" collapsed="false">
      <c r="A347" s="1"/>
      <c r="B347" s="34" t="s">
        <v>211</v>
      </c>
      <c r="C347" s="1"/>
      <c r="D347" s="45" t="n">
        <f aca="false">D71</f>
        <v>2592.857</v>
      </c>
      <c r="E347" s="45" t="n">
        <f aca="false">E71</f>
        <v>3060.888</v>
      </c>
      <c r="F347" s="45" t="n">
        <f aca="false">F71</f>
        <v>3533.946</v>
      </c>
      <c r="G347" s="45" t="n">
        <f aca="false">F347+G337+G367+G369</f>
        <v>4044.68652959475</v>
      </c>
      <c r="H347" s="45" t="n">
        <f aca="false">G347+H337+H367+H369</f>
        <v>4433.03693988689</v>
      </c>
      <c r="I347" s="45" t="n">
        <f aca="false">H347+I337+I367+I369</f>
        <v>4793.69471660101</v>
      </c>
      <c r="J347" s="45" t="n">
        <f aca="false">I347+J337+J367+J369</f>
        <v>5212.25337382498</v>
      </c>
      <c r="K347" s="45" t="n">
        <f aca="false">J347+K337+K367+K369</f>
        <v>5876.5528538133</v>
      </c>
      <c r="L347" s="45" t="n">
        <f aca="false">K347+L337+L367+L369</f>
        <v>6518.31239167824</v>
      </c>
      <c r="M347" s="1"/>
    </row>
    <row r="348" customFormat="false" ht="15" hidden="false" customHeight="false" outlineLevel="1" collapsed="false">
      <c r="A348" s="1"/>
      <c r="B348" s="34" t="s">
        <v>81</v>
      </c>
      <c r="C348" s="1"/>
      <c r="D348" s="45" t="n">
        <f aca="false">D72</f>
        <v>9.63</v>
      </c>
      <c r="E348" s="45" t="n">
        <f aca="false">E72</f>
        <v>9.734</v>
      </c>
      <c r="F348" s="45" t="n">
        <f aca="false">F72</f>
        <v>9.292</v>
      </c>
      <c r="G348" s="45" t="n">
        <f aca="false">G72</f>
        <v>9.292</v>
      </c>
      <c r="H348" s="45" t="n">
        <f aca="false">H72</f>
        <v>9.292</v>
      </c>
      <c r="I348" s="45" t="n">
        <f aca="false">I72</f>
        <v>9.292</v>
      </c>
      <c r="J348" s="45" t="n">
        <f aca="false">J72</f>
        <v>9.292</v>
      </c>
      <c r="K348" s="45" t="n">
        <f aca="false">K72</f>
        <v>9.292</v>
      </c>
      <c r="L348" s="45" t="n">
        <f aca="false">L72</f>
        <v>9.292</v>
      </c>
      <c r="M348" s="1"/>
    </row>
    <row r="349" customFormat="false" ht="15" hidden="false" customHeight="false" outlineLevel="1" collapsed="false">
      <c r="A349" s="1"/>
      <c r="B349" s="46" t="s">
        <v>212</v>
      </c>
      <c r="C349" s="47"/>
      <c r="D349" s="48" t="n">
        <f aca="false">SUM(D347:D348)</f>
        <v>2602.487</v>
      </c>
      <c r="E349" s="48" t="n">
        <f aca="false">SUM(E347:E348)</f>
        <v>3070.622</v>
      </c>
      <c r="F349" s="48" t="n">
        <f aca="false">SUM(F347:F348)</f>
        <v>3543.238</v>
      </c>
      <c r="G349" s="48" t="n">
        <f aca="false">SUM(G347:G348)</f>
        <v>4053.97852959475</v>
      </c>
      <c r="H349" s="48" t="n">
        <f aca="false">SUM(H347:H348)</f>
        <v>4442.32893988689</v>
      </c>
      <c r="I349" s="48" t="n">
        <f aca="false">SUM(I347:I348)</f>
        <v>4802.98671660101</v>
      </c>
      <c r="J349" s="48" t="n">
        <f aca="false">SUM(J347:J348)</f>
        <v>5221.54537382498</v>
      </c>
      <c r="K349" s="48" t="n">
        <f aca="false">SUM(K347:K348)</f>
        <v>5885.8448538133</v>
      </c>
      <c r="L349" s="48" t="n">
        <f aca="false">SUM(L347:L348)</f>
        <v>6527.60439167824</v>
      </c>
      <c r="M349" s="1"/>
    </row>
    <row r="350" customFormat="false" ht="15" hidden="false" customHeight="false" outlineLevel="1" collapsed="false">
      <c r="A350" s="1"/>
      <c r="B350" s="34" t="s">
        <v>410</v>
      </c>
      <c r="C350" s="1"/>
      <c r="D350" s="45" t="n">
        <f aca="false">D77</f>
        <v>2811.779</v>
      </c>
      <c r="E350" s="45" t="n">
        <f aca="false">E77</f>
        <v>2477.186</v>
      </c>
      <c r="F350" s="45" t="n">
        <f aca="false">F77</f>
        <v>3351.888</v>
      </c>
      <c r="G350" s="45" t="n">
        <f aca="false">G77</f>
        <v>3351.888</v>
      </c>
      <c r="H350" s="45" t="n">
        <f aca="false">H77</f>
        <v>3351.888</v>
      </c>
      <c r="I350" s="45" t="n">
        <f aca="false">I77</f>
        <v>3351.888</v>
      </c>
      <c r="J350" s="45" t="n">
        <f aca="false">J77</f>
        <v>3351.888</v>
      </c>
      <c r="K350" s="45" t="n">
        <f aca="false">K77</f>
        <v>3351.888</v>
      </c>
      <c r="L350" s="45" t="n">
        <f aca="false">L77</f>
        <v>3351.888</v>
      </c>
      <c r="M350" s="1"/>
    </row>
    <row r="351" customFormat="false" ht="15" hidden="false" customHeight="false" outlineLevel="1" collapsed="false">
      <c r="A351" s="1"/>
      <c r="B351" s="34" t="s">
        <v>411</v>
      </c>
      <c r="C351" s="1"/>
      <c r="D351" s="45"/>
      <c r="E351" s="45"/>
      <c r="F351" s="45"/>
      <c r="G351" s="45" t="n">
        <f aca="false">G290</f>
        <v>0</v>
      </c>
      <c r="H351" s="45" t="n">
        <f aca="false">H290</f>
        <v>350</v>
      </c>
      <c r="I351" s="45" t="n">
        <f aca="false">I290</f>
        <v>787.5</v>
      </c>
      <c r="J351" s="45" t="n">
        <f aca="false">J290</f>
        <v>1100</v>
      </c>
      <c r="K351" s="45" t="n">
        <f aca="false">K290</f>
        <v>563.661961</v>
      </c>
      <c r="L351" s="45" t="n">
        <f aca="false">L290</f>
        <v>-0</v>
      </c>
      <c r="M351" s="1"/>
    </row>
    <row r="352" customFormat="false" ht="15" hidden="false" customHeight="false" outlineLevel="1" collapsed="false">
      <c r="A352" s="1"/>
      <c r="B352" s="34" t="s">
        <v>96</v>
      </c>
      <c r="C352" s="1"/>
      <c r="D352" s="45" t="n">
        <f aca="false">D82-D77</f>
        <v>2351.557</v>
      </c>
      <c r="E352" s="45" t="n">
        <f aca="false">E82-E77</f>
        <v>2503.504</v>
      </c>
      <c r="F352" s="45" t="n">
        <f aca="false">F82-F77</f>
        <v>2602.02</v>
      </c>
      <c r="G352" s="45" t="n">
        <f aca="false">G82-G77</f>
        <v>2746.36662880786</v>
      </c>
      <c r="H352" s="45" t="n">
        <f aca="false">H82-H77</f>
        <v>2860.46408744318</v>
      </c>
      <c r="I352" s="45" t="n">
        <f aca="false">I82-I77</f>
        <v>2980.03308825778</v>
      </c>
      <c r="J352" s="45" t="n">
        <f aca="false">J82-J77</f>
        <v>3105.33862574768</v>
      </c>
      <c r="K352" s="45" t="n">
        <f aca="false">K82-K77</f>
        <v>3236.6586551953</v>
      </c>
      <c r="L352" s="45" t="n">
        <f aca="false">L82-L77</f>
        <v>3374.28473263474</v>
      </c>
      <c r="M352" s="1"/>
    </row>
    <row r="353" customFormat="false" ht="15" hidden="false" customHeight="false" outlineLevel="1" collapsed="false">
      <c r="A353" s="1"/>
      <c r="B353" s="46" t="s">
        <v>218</v>
      </c>
      <c r="C353" s="47"/>
      <c r="D353" s="48" t="n">
        <f aca="false">SUM(D350:D352)</f>
        <v>5163.336</v>
      </c>
      <c r="E353" s="48" t="n">
        <f aca="false">SUM(E350:E352)</f>
        <v>4980.69</v>
      </c>
      <c r="F353" s="48" t="n">
        <f aca="false">SUM(F350:F352)</f>
        <v>5953.908</v>
      </c>
      <c r="G353" s="48" t="n">
        <f aca="false">SUM(G350:G352)</f>
        <v>6098.25462880786</v>
      </c>
      <c r="H353" s="48" t="n">
        <f aca="false">SUM(H350:H352)</f>
        <v>6562.35208744318</v>
      </c>
      <c r="I353" s="48" t="n">
        <f aca="false">SUM(I350:I352)</f>
        <v>7119.42108825778</v>
      </c>
      <c r="J353" s="48" t="n">
        <f aca="false">SUM(J350:J352)</f>
        <v>7557.22662574768</v>
      </c>
      <c r="K353" s="48" t="n">
        <f aca="false">SUM(K350:K352)</f>
        <v>7152.2086161953</v>
      </c>
      <c r="L353" s="48" t="n">
        <f aca="false">SUM(L350:L352)</f>
        <v>6726.17273263474</v>
      </c>
      <c r="M353" s="1"/>
    </row>
    <row r="354" customFormat="false" ht="15" hidden="false" customHeight="false" outlineLevel="1" collapsed="false">
      <c r="A354" s="1"/>
      <c r="B354" s="49" t="s">
        <v>219</v>
      </c>
      <c r="C354" s="50"/>
      <c r="D354" s="51" t="n">
        <f aca="false">D349+D353</f>
        <v>7765.823</v>
      </c>
      <c r="E354" s="51" t="n">
        <f aca="false">E349+E353</f>
        <v>8051.312</v>
      </c>
      <c r="F354" s="51" t="n">
        <f aca="false">F349+F353</f>
        <v>9497.146</v>
      </c>
      <c r="G354" s="51" t="n">
        <f aca="false">G349+G353</f>
        <v>10152.2331584026</v>
      </c>
      <c r="H354" s="51" t="n">
        <f aca="false">H349+H353</f>
        <v>11004.6810273301</v>
      </c>
      <c r="I354" s="51" t="n">
        <f aca="false">I349+I353</f>
        <v>11922.4078048588</v>
      </c>
      <c r="J354" s="51" t="n">
        <f aca="false">J349+J353</f>
        <v>12778.7719995727</v>
      </c>
      <c r="K354" s="51" t="n">
        <f aca="false">K349+K353</f>
        <v>13038.0534700086</v>
      </c>
      <c r="L354" s="51" t="n">
        <f aca="false">L349+L353</f>
        <v>13253.777124313</v>
      </c>
      <c r="M354" s="1"/>
    </row>
    <row r="355" customFormat="false" ht="15" hidden="false" customHeight="false" outlineLevel="1" collapsed="false">
      <c r="A355" s="1"/>
      <c r="B355" s="55" t="s">
        <v>220</v>
      </c>
      <c r="C355" s="1"/>
      <c r="D355" s="56" t="n">
        <f aca="false">ROUND(D346-D354,3)</f>
        <v>0</v>
      </c>
      <c r="E355" s="56" t="n">
        <f aca="false">ROUND(E346-E354,3)</f>
        <v>0</v>
      </c>
      <c r="F355" s="56" t="n">
        <f aca="false">ROUND(F346-F354,3)</f>
        <v>0</v>
      </c>
      <c r="G355" s="56" t="n">
        <f aca="false">ROUND(G346-G354,3)</f>
        <v>0</v>
      </c>
      <c r="H355" s="56" t="n">
        <f aca="false">ROUND(H346-H354,3)</f>
        <v>0</v>
      </c>
      <c r="I355" s="56" t="n">
        <f aca="false">ROUND(I346-I354,3)</f>
        <v>0</v>
      </c>
      <c r="J355" s="56" t="n">
        <f aca="false">ROUND(J346-J354,3)</f>
        <v>0</v>
      </c>
      <c r="K355" s="56" t="n">
        <f aca="false">ROUND(K346-K354,3)</f>
        <v>0</v>
      </c>
      <c r="L355" s="56" t="n">
        <f aca="false">ROUND(L346-L354,3)</f>
        <v>-0</v>
      </c>
      <c r="M355" s="1"/>
    </row>
    <row r="356" customFormat="false" ht="15" hidden="false" customHeight="false" outlineLevel="1" collapsed="false">
      <c r="A356" s="1"/>
      <c r="B356" s="55" t="s">
        <v>221</v>
      </c>
      <c r="C356" s="1"/>
      <c r="D356" s="57" t="n">
        <f aca="false">IF(D345&lt;0,1,0)</f>
        <v>0</v>
      </c>
      <c r="E356" s="57" t="n">
        <f aca="false">IF(E345&lt;0,1,0)</f>
        <v>0</v>
      </c>
      <c r="F356" s="57" t="n">
        <f aca="false">IF(F345&lt;0,1,0)</f>
        <v>0</v>
      </c>
      <c r="G356" s="57" t="n">
        <f aca="false">IF(G345&lt;0,1,0)</f>
        <v>0</v>
      </c>
      <c r="H356" s="57" t="n">
        <f aca="false">IF(H345&lt;0,1,0)</f>
        <v>0</v>
      </c>
      <c r="I356" s="57" t="n">
        <f aca="false">IF(I345&lt;0,1,0)</f>
        <v>0</v>
      </c>
      <c r="J356" s="57" t="n">
        <f aca="false">IF(J345&lt;0,1,0)</f>
        <v>0</v>
      </c>
      <c r="K356" s="57" t="n">
        <f aca="false">IF(K345&lt;0,1,0)</f>
        <v>0</v>
      </c>
      <c r="L356" s="57" t="n">
        <f aca="false">IF(L345&lt;0,1,0)</f>
        <v>0</v>
      </c>
      <c r="M356" s="1"/>
    </row>
    <row r="357" customFormat="false" ht="15" hidden="false" customHeight="false" outlineLevel="1" collapsed="false">
      <c r="A357" s="1"/>
      <c r="B357" s="33" t="s">
        <v>412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customFormat="false" ht="15" hidden="false" customHeight="false" outlineLevel="1" collapsed="false">
      <c r="A358" s="1"/>
      <c r="B358" s="34" t="s">
        <v>172</v>
      </c>
      <c r="C358" s="1"/>
      <c r="D358" s="45" t="n">
        <f aca="false">D335</f>
        <v>939.294</v>
      </c>
      <c r="E358" s="45" t="n">
        <f aca="false">E335</f>
        <v>1257.457</v>
      </c>
      <c r="F358" s="45" t="n">
        <f aca="false">F335</f>
        <v>1525.913</v>
      </c>
      <c r="G358" s="45" t="n">
        <f aca="false">G335</f>
        <v>1548.04160440798</v>
      </c>
      <c r="H358" s="45" t="n">
        <f aca="false">H335</f>
        <v>1633.47586668786</v>
      </c>
      <c r="I358" s="45" t="n">
        <f aca="false">I335</f>
        <v>1717.31155338126</v>
      </c>
      <c r="J358" s="45" t="n">
        <f aca="false">J335</f>
        <v>1808.9423648859</v>
      </c>
      <c r="K358" s="45" t="n">
        <f aca="false">K335</f>
        <v>2091.54488841864</v>
      </c>
      <c r="L358" s="45" t="n">
        <f aca="false">L335</f>
        <v>2182.26834573805</v>
      </c>
      <c r="M358" s="1"/>
    </row>
    <row r="359" customFormat="false" ht="15" hidden="false" customHeight="false" outlineLevel="1" collapsed="false">
      <c r="A359" s="1"/>
      <c r="B359" s="34" t="s">
        <v>176</v>
      </c>
      <c r="C359" s="1"/>
      <c r="D359" s="45" t="n">
        <f aca="false">D92</f>
        <v>546.225</v>
      </c>
      <c r="E359" s="45" t="n">
        <f aca="false">E92</f>
        <v>662.305</v>
      </c>
      <c r="F359" s="45" t="n">
        <f aca="false">F92</f>
        <v>666.777</v>
      </c>
      <c r="G359" s="45" t="n">
        <f aca="false">G92</f>
        <v>679.411632</v>
      </c>
      <c r="H359" s="45" t="n">
        <f aca="false">H92</f>
        <v>698.280577019474</v>
      </c>
      <c r="I359" s="45" t="n">
        <f aca="false">I92</f>
        <v>723.00728218354</v>
      </c>
      <c r="J359" s="45" t="n">
        <f aca="false">J92</f>
        <v>752.41652286706</v>
      </c>
      <c r="K359" s="45" t="n">
        <f aca="false">K92</f>
        <v>785.689440956346</v>
      </c>
      <c r="L359" s="45" t="n">
        <f aca="false">L92</f>
        <v>822.267006808651</v>
      </c>
      <c r="M359" s="1"/>
    </row>
    <row r="360" customFormat="false" ht="15" hidden="false" customHeight="false" outlineLevel="1" collapsed="false">
      <c r="A360" s="1"/>
      <c r="B360" s="34" t="s">
        <v>413</v>
      </c>
      <c r="C360" s="1"/>
      <c r="D360" s="45" t="n">
        <f aca="false">SUM(D93:D98)</f>
        <v>-82.179</v>
      </c>
      <c r="E360" s="45" t="n">
        <f aca="false">SUM(E93:E98)</f>
        <v>-203.125</v>
      </c>
      <c r="F360" s="45" t="n">
        <f aca="false">SUM(F93:F98)</f>
        <v>-266.034</v>
      </c>
      <c r="G360" s="45" t="n">
        <f aca="false">SUM(G93:G98)</f>
        <v>-54.6541071915815</v>
      </c>
      <c r="H360" s="45" t="n">
        <f aca="false">SUM(H93:H98)</f>
        <v>-50.2901398917744</v>
      </c>
      <c r="I360" s="45" t="n">
        <f aca="false">SUM(I93:I98)</f>
        <v>-52.7632941143849</v>
      </c>
      <c r="J360" s="45" t="n">
        <f aca="false">SUM(J93:J98)</f>
        <v>-55.3593718863194</v>
      </c>
      <c r="K360" s="45" t="n">
        <f aca="false">SUM(K93:K98)</f>
        <v>-58.0845480600269</v>
      </c>
      <c r="L360" s="45" t="n">
        <f aca="false">SUM(L93:L98)</f>
        <v>-60.9453109024249</v>
      </c>
      <c r="M360" s="1"/>
    </row>
    <row r="361" customFormat="false" ht="15" hidden="false" customHeight="false" outlineLevel="1" collapsed="false">
      <c r="A361" s="1"/>
      <c r="B361" s="34" t="s">
        <v>414</v>
      </c>
      <c r="C361" s="1"/>
      <c r="D361" s="45"/>
      <c r="E361" s="45"/>
      <c r="F361" s="45"/>
      <c r="G361" s="45" t="n">
        <f aca="false">F343-G343</f>
        <v>-237.5</v>
      </c>
      <c r="H361" s="45" t="n">
        <f aca="false">G343-H343</f>
        <v>-437.5</v>
      </c>
      <c r="I361" s="45" t="n">
        <f aca="false">H343-I343</f>
        <v>-437.5</v>
      </c>
      <c r="J361" s="45" t="n">
        <f aca="false">I343-J343</f>
        <v>-312.5</v>
      </c>
      <c r="K361" s="45" t="n">
        <f aca="false">J343-K343</f>
        <v>855</v>
      </c>
      <c r="L361" s="45" t="n">
        <f aca="false">K343-L343</f>
        <v>570</v>
      </c>
      <c r="M361" s="1"/>
    </row>
    <row r="362" customFormat="false" ht="15" hidden="false" customHeight="false" outlineLevel="1" collapsed="false">
      <c r="A362" s="1"/>
      <c r="B362" s="46" t="s">
        <v>229</v>
      </c>
      <c r="C362" s="47"/>
      <c r="D362" s="48" t="n">
        <f aca="false">SUM(D358:D361)</f>
        <v>1403.34</v>
      </c>
      <c r="E362" s="48" t="n">
        <f aca="false">SUM(E358:E361)</f>
        <v>1716.637</v>
      </c>
      <c r="F362" s="48" t="n">
        <f aca="false">SUM(F358:F361)</f>
        <v>1926.656</v>
      </c>
      <c r="G362" s="48" t="n">
        <f aca="false">SUM(G358:G361)</f>
        <v>1935.29912921639</v>
      </c>
      <c r="H362" s="48" t="n">
        <f aca="false">SUM(H358:H361)</f>
        <v>1843.96630381556</v>
      </c>
      <c r="I362" s="48" t="n">
        <f aca="false">SUM(I358:I361)</f>
        <v>1950.05554145042</v>
      </c>
      <c r="J362" s="48" t="n">
        <f aca="false">SUM(J358:J361)</f>
        <v>2193.49951586664</v>
      </c>
      <c r="K362" s="48" t="n">
        <f aca="false">SUM(K358:K361)</f>
        <v>3674.14978131496</v>
      </c>
      <c r="L362" s="48" t="n">
        <f aca="false">SUM(L358:L361)</f>
        <v>3513.59004164428</v>
      </c>
      <c r="M362" s="1"/>
    </row>
    <row r="363" customFormat="false" ht="15" hidden="false" customHeight="false" outlineLevel="1" collapsed="false">
      <c r="A363" s="1"/>
      <c r="B363" s="46" t="s">
        <v>234</v>
      </c>
      <c r="C363" s="47"/>
      <c r="D363" s="48" t="n">
        <f aca="false">D104</f>
        <v>-805.408</v>
      </c>
      <c r="E363" s="48" t="n">
        <f aca="false">E104</f>
        <v>-866.452</v>
      </c>
      <c r="F363" s="48" t="n">
        <f aca="false">F104</f>
        <v>-987.11</v>
      </c>
      <c r="G363" s="48" t="n">
        <f aca="false">G104</f>
        <v>-817.297706319326</v>
      </c>
      <c r="H363" s="48" t="n">
        <f aca="false">H104</f>
        <v>-857.558783867343</v>
      </c>
      <c r="I363" s="48" t="n">
        <f aca="false">I104</f>
        <v>-899.823753381913</v>
      </c>
      <c r="J363" s="48" t="n">
        <f aca="false">J104</f>
        <v>-944.193408865674</v>
      </c>
      <c r="K363" s="48" t="n">
        <f aca="false">K104</f>
        <v>-990.773667734147</v>
      </c>
      <c r="L363" s="48" t="n">
        <f aca="false">L104</f>
        <v>-1039.67583393145</v>
      </c>
      <c r="M363" s="1"/>
    </row>
    <row r="364" customFormat="false" ht="15" hidden="false" customHeight="false" outlineLevel="1" collapsed="false">
      <c r="A364" s="1"/>
      <c r="B364" s="34" t="s">
        <v>415</v>
      </c>
      <c r="C364" s="1"/>
      <c r="D364" s="45" t="n">
        <f aca="false">D106</f>
        <v>94.75</v>
      </c>
      <c r="E364" s="45" t="n">
        <f aca="false">E106</f>
        <v>-315.257</v>
      </c>
      <c r="F364" s="45" t="n">
        <f aca="false">F106</f>
        <v>701.029</v>
      </c>
      <c r="G364" s="45" t="n">
        <f aca="false">G106</f>
        <v>0</v>
      </c>
      <c r="H364" s="45" t="n">
        <f aca="false">H106</f>
        <v>0</v>
      </c>
      <c r="I364" s="45" t="n">
        <f aca="false">I106</f>
        <v>0</v>
      </c>
      <c r="J364" s="45" t="n">
        <f aca="false">J106</f>
        <v>0</v>
      </c>
      <c r="K364" s="45" t="n">
        <f aca="false">K106</f>
        <v>0</v>
      </c>
      <c r="L364" s="45" t="n">
        <f aca="false">L106</f>
        <v>0</v>
      </c>
      <c r="M364" s="1"/>
    </row>
    <row r="365" customFormat="false" ht="15" hidden="false" customHeight="false" outlineLevel="1" collapsed="false">
      <c r="A365" s="1"/>
      <c r="B365" s="34" t="s">
        <v>140</v>
      </c>
      <c r="C365" s="1"/>
      <c r="D365" s="45"/>
      <c r="E365" s="45"/>
      <c r="F365" s="45"/>
      <c r="G365" s="45" t="n">
        <f aca="false">G288</f>
        <v>0</v>
      </c>
      <c r="H365" s="45" t="n">
        <f aca="false">H288</f>
        <v>350</v>
      </c>
      <c r="I365" s="45" t="n">
        <f aca="false">I288</f>
        <v>437.5</v>
      </c>
      <c r="J365" s="45" t="n">
        <f aca="false">J288</f>
        <v>312.5</v>
      </c>
      <c r="K365" s="45" t="n">
        <f aca="false">K288</f>
        <v>0</v>
      </c>
      <c r="L365" s="45" t="n">
        <f aca="false">L288</f>
        <v>0</v>
      </c>
      <c r="M365" s="1"/>
    </row>
    <row r="366" customFormat="false" ht="15" hidden="false" customHeight="false" outlineLevel="1" collapsed="false">
      <c r="A366" s="1"/>
      <c r="B366" s="34" t="s">
        <v>416</v>
      </c>
      <c r="C366" s="1"/>
      <c r="D366" s="45"/>
      <c r="E366" s="45"/>
      <c r="F366" s="45"/>
      <c r="G366" s="45" t="n">
        <f aca="false">G289</f>
        <v>-0</v>
      </c>
      <c r="H366" s="45" t="n">
        <f aca="false">H289</f>
        <v>-0</v>
      </c>
      <c r="I366" s="45" t="n">
        <f aca="false">I289</f>
        <v>-0</v>
      </c>
      <c r="J366" s="45" t="n">
        <f aca="false">J289</f>
        <v>-0</v>
      </c>
      <c r="K366" s="45" t="n">
        <f aca="false">K289</f>
        <v>-536.338038952423</v>
      </c>
      <c r="L366" s="45" t="n">
        <f aca="false">L289</f>
        <v>-563.661961064923</v>
      </c>
      <c r="M366" s="1"/>
    </row>
    <row r="367" customFormat="false" ht="15" hidden="false" customHeight="false" outlineLevel="1" collapsed="false">
      <c r="A367" s="1"/>
      <c r="B367" s="34" t="s">
        <v>237</v>
      </c>
      <c r="C367" s="1"/>
      <c r="D367" s="45" t="n">
        <f aca="false">D107</f>
        <v>-249.522</v>
      </c>
      <c r="E367" s="45" t="n">
        <f aca="false">E107</f>
        <v>-328.631</v>
      </c>
      <c r="F367" s="45" t="n">
        <f aca="false">F107</f>
        <v>-439.918</v>
      </c>
      <c r="G367" s="45" t="n">
        <f aca="false">-F337*Inputs!G45</f>
        <v>-532.65695</v>
      </c>
      <c r="H367" s="45" t="n">
        <f aca="false">-G337*Inputs!H45</f>
        <v>-540.189117858163</v>
      </c>
      <c r="I367" s="45" t="n">
        <f aca="false">-H337*Inputs!I45</f>
        <v>-651.415811260119</v>
      </c>
      <c r="J367" s="45" t="n">
        <f aca="false">-I337*Inputs!J45</f>
        <v>-684.829435189697</v>
      </c>
      <c r="K367" s="45" t="n">
        <f aca="false">-J337*Inputs!K45</f>
        <v>-721.355236965467</v>
      </c>
      <c r="L367" s="45" t="n">
        <f aca="false">-K337*Inputs!L45</f>
        <v>-834.261886781516</v>
      </c>
      <c r="M367" s="1"/>
    </row>
    <row r="368" customFormat="false" ht="15" hidden="false" customHeight="false" outlineLevel="1" collapsed="false">
      <c r="A368" s="1"/>
      <c r="B368" s="34" t="s">
        <v>238</v>
      </c>
      <c r="C368" s="1"/>
      <c r="D368" s="45" t="n">
        <f aca="false">D108</f>
        <v>-2.266</v>
      </c>
      <c r="E368" s="45" t="n">
        <f aca="false">E108</f>
        <v>-4.89</v>
      </c>
      <c r="F368" s="45" t="n">
        <f aca="false">F108</f>
        <v>-4.788</v>
      </c>
      <c r="G368" s="45" t="n">
        <f aca="false">G108</f>
        <v>-4.64412481322393</v>
      </c>
      <c r="H368" s="45" t="n">
        <f aca="false">H108</f>
        <v>-4.93633853756358</v>
      </c>
      <c r="I368" s="45" t="n">
        <f aca="false">I108</f>
        <v>-5.23796540701878</v>
      </c>
      <c r="J368" s="45" t="n">
        <f aca="false">J108</f>
        <v>-5.5542724722327</v>
      </c>
      <c r="K368" s="45" t="n">
        <f aca="false">K108</f>
        <v>-5.89017146484855</v>
      </c>
      <c r="L368" s="45" t="n">
        <f aca="false">L108</f>
        <v>-6.2469210915994</v>
      </c>
      <c r="M368" s="1"/>
    </row>
    <row r="369" customFormat="false" ht="15" hidden="false" customHeight="false" outlineLevel="1" collapsed="false">
      <c r="A369" s="1"/>
      <c r="B369" s="34" t="s">
        <v>125</v>
      </c>
      <c r="C369" s="1"/>
      <c r="D369" s="45" t="n">
        <f aca="false">D109</f>
        <v>-396.522</v>
      </c>
      <c r="E369" s="45" t="n">
        <f aca="false">E109</f>
        <v>-460.629</v>
      </c>
      <c r="F369" s="45" t="n">
        <f aca="false">F109</f>
        <v>-581.084</v>
      </c>
      <c r="G369" s="45" t="n">
        <f aca="false">G109</f>
        <v>-500</v>
      </c>
      <c r="H369" s="45" t="n">
        <f aca="false">H109</f>
        <v>-700</v>
      </c>
      <c r="I369" s="45" t="n">
        <f aca="false">I109</f>
        <v>-700</v>
      </c>
      <c r="J369" s="45" t="n">
        <f aca="false">J109</f>
        <v>-700</v>
      </c>
      <c r="K369" s="45" t="n">
        <f aca="false">K109</f>
        <v>-700</v>
      </c>
      <c r="L369" s="45" t="n">
        <f aca="false">L109</f>
        <v>-700</v>
      </c>
      <c r="M369" s="1"/>
    </row>
    <row r="370" customFormat="false" ht="15" hidden="false" customHeight="false" outlineLevel="1" collapsed="false">
      <c r="A370" s="1"/>
      <c r="B370" s="46" t="s">
        <v>239</v>
      </c>
      <c r="C370" s="47"/>
      <c r="D370" s="48" t="n">
        <f aca="false">SUM(D364:D369)</f>
        <v>-553.56</v>
      </c>
      <c r="E370" s="48" t="n">
        <f aca="false">SUM(E364:E369)</f>
        <v>-1109.407</v>
      </c>
      <c r="F370" s="48" t="n">
        <f aca="false">SUM(F364:F369)</f>
        <v>-324.761</v>
      </c>
      <c r="G370" s="48" t="n">
        <f aca="false">SUM(G364:G369)</f>
        <v>-1037.30107481322</v>
      </c>
      <c r="H370" s="48" t="n">
        <f aca="false">SUM(H364:H369)</f>
        <v>-895.125456395727</v>
      </c>
      <c r="I370" s="48" t="n">
        <f aca="false">SUM(I364:I369)</f>
        <v>-919.153776667137</v>
      </c>
      <c r="J370" s="48" t="n">
        <f aca="false">SUM(J364:J369)</f>
        <v>-1077.88370766193</v>
      </c>
      <c r="K370" s="48" t="n">
        <f aca="false">SUM(K364:K369)</f>
        <v>-1963.58344738274</v>
      </c>
      <c r="L370" s="48" t="n">
        <f aca="false">SUM(L364:L369)</f>
        <v>-2104.17076893804</v>
      </c>
      <c r="M370" s="1"/>
    </row>
    <row r="371" customFormat="false" ht="15" hidden="false" customHeight="false" outlineLevel="1" collapsed="false">
      <c r="A371" s="1"/>
      <c r="B371" s="34" t="s">
        <v>240</v>
      </c>
      <c r="C371" s="1"/>
      <c r="D371" s="45" t="n">
        <f aca="false">D111</f>
        <v>0.383</v>
      </c>
      <c r="E371" s="45" t="n">
        <f aca="false">E111</f>
        <v>-7.698</v>
      </c>
      <c r="F371" s="45" t="n">
        <f aca="false">F111</f>
        <v>5.448</v>
      </c>
      <c r="G371" s="45" t="n">
        <f aca="false">G111</f>
        <v>0</v>
      </c>
      <c r="H371" s="45" t="n">
        <f aca="false">H111</f>
        <v>0</v>
      </c>
      <c r="I371" s="45" t="n">
        <f aca="false">I111</f>
        <v>0</v>
      </c>
      <c r="J371" s="45" t="n">
        <f aca="false">J111</f>
        <v>0</v>
      </c>
      <c r="K371" s="45" t="n">
        <f aca="false">K111</f>
        <v>0</v>
      </c>
      <c r="L371" s="45" t="n">
        <f aca="false">L111</f>
        <v>0</v>
      </c>
      <c r="M371" s="1"/>
    </row>
    <row r="372" customFormat="false" ht="15" hidden="false" customHeight="false" outlineLevel="1" collapsed="false">
      <c r="A372" s="1"/>
      <c r="B372" s="46" t="s">
        <v>241</v>
      </c>
      <c r="C372" s="47"/>
      <c r="D372" s="48" t="n">
        <f aca="false">D362+D363+D370+D371</f>
        <v>44.7549999999997</v>
      </c>
      <c r="E372" s="48" t="n">
        <f aca="false">E362+E363+E370+E371</f>
        <v>-266.92</v>
      </c>
      <c r="F372" s="48" t="n">
        <f aca="false">F362+F363+F370+F371</f>
        <v>620.233</v>
      </c>
      <c r="G372" s="48" t="n">
        <f aca="false">G362+G363+G370+G371</f>
        <v>80.7003480838446</v>
      </c>
      <c r="H372" s="48" t="n">
        <f aca="false">H362+H363+H370+H371</f>
        <v>91.2820635524904</v>
      </c>
      <c r="I372" s="48" t="n">
        <f aca="false">I362+I363+I370+I371</f>
        <v>131.078011401367</v>
      </c>
      <c r="J372" s="48" t="n">
        <f aca="false">J362+J363+J370+J371</f>
        <v>171.422399339036</v>
      </c>
      <c r="K372" s="48" t="n">
        <f aca="false">K362+K363+K370+K371</f>
        <v>719.792666198072</v>
      </c>
      <c r="L372" s="48" t="n">
        <f aca="false">L362+L363+L370+L371</f>
        <v>369.74343877479</v>
      </c>
      <c r="M372" s="1"/>
    </row>
    <row r="373" customFormat="false" ht="15" hidden="false" customHeight="false" outlineLevel="1" collapsed="false">
      <c r="A373" s="1"/>
      <c r="B373" s="34" t="s">
        <v>242</v>
      </c>
      <c r="C373" s="1"/>
      <c r="D373" s="45" t="n">
        <f aca="false">D113</f>
        <v>1344.146</v>
      </c>
      <c r="E373" s="45" t="n">
        <f aca="false">D374</f>
        <v>1388.901</v>
      </c>
      <c r="F373" s="45" t="n">
        <f aca="false">E374</f>
        <v>1121.981</v>
      </c>
      <c r="G373" s="45" t="n">
        <f aca="false">F374</f>
        <v>1742.214</v>
      </c>
      <c r="H373" s="45" t="n">
        <f aca="false">G374</f>
        <v>1822.91434808384</v>
      </c>
      <c r="I373" s="45" t="n">
        <f aca="false">H374</f>
        <v>1914.19641163633</v>
      </c>
      <c r="J373" s="45" t="n">
        <f aca="false">I374</f>
        <v>2045.2744230377</v>
      </c>
      <c r="K373" s="45" t="n">
        <f aca="false">J374</f>
        <v>2216.69682237674</v>
      </c>
      <c r="L373" s="45" t="n">
        <f aca="false">K374</f>
        <v>2936.48948857481</v>
      </c>
      <c r="M373" s="1"/>
    </row>
    <row r="374" customFormat="false" ht="15" hidden="false" customHeight="false" outlineLevel="1" collapsed="false">
      <c r="A374" s="1"/>
      <c r="B374" s="49" t="s">
        <v>243</v>
      </c>
      <c r="C374" s="50"/>
      <c r="D374" s="51" t="n">
        <f aca="false">D373+D372</f>
        <v>1388.901</v>
      </c>
      <c r="E374" s="51" t="n">
        <f aca="false">E373+E372</f>
        <v>1121.981</v>
      </c>
      <c r="F374" s="51" t="n">
        <f aca="false">F373+F372</f>
        <v>1742.214</v>
      </c>
      <c r="G374" s="51" t="n">
        <f aca="false">G373+G372</f>
        <v>1822.91434808384</v>
      </c>
      <c r="H374" s="51" t="n">
        <f aca="false">H373+H372</f>
        <v>1914.19641163633</v>
      </c>
      <c r="I374" s="51" t="n">
        <f aca="false">I373+I372</f>
        <v>2045.2744230377</v>
      </c>
      <c r="J374" s="51" t="n">
        <f aca="false">J373+J372</f>
        <v>2216.69682237674</v>
      </c>
      <c r="K374" s="51" t="n">
        <f aca="false">K373+K372</f>
        <v>2936.48948857481</v>
      </c>
      <c r="L374" s="51" t="n">
        <f aca="false">L373+L372</f>
        <v>3306.2329273496</v>
      </c>
      <c r="M374" s="1"/>
    </row>
    <row r="375" customFormat="false" ht="1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customFormat="false" ht="21" hidden="false" customHeight="true" outlineLevel="0" collapsed="false">
      <c r="A376" s="1"/>
      <c r="B376" s="26" t="s">
        <v>27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1"/>
    </row>
    <row r="377" customFormat="false" ht="15" hidden="false" customHeight="false" outlineLevel="1" collapsed="false">
      <c r="A377" s="1"/>
      <c r="B377" s="27" t="s">
        <v>49</v>
      </c>
      <c r="C377" s="1"/>
      <c r="D377" s="28"/>
      <c r="E377" s="28"/>
      <c r="F377" s="29" t="s">
        <v>164</v>
      </c>
      <c r="G377" s="28"/>
      <c r="H377" s="28"/>
      <c r="I377" s="28"/>
      <c r="J377" s="28"/>
      <c r="K377" s="28"/>
      <c r="L377" s="29" t="s">
        <v>50</v>
      </c>
      <c r="M377" s="1"/>
    </row>
    <row r="378" customFormat="false" ht="15" hidden="false" customHeight="false" outlineLevel="1" collapsed="false">
      <c r="A378" s="1"/>
      <c r="B378" s="1"/>
      <c r="C378" s="1"/>
      <c r="D378" s="44" t="n">
        <f aca="false">D$5</f>
        <v>2022</v>
      </c>
      <c r="E378" s="44" t="n">
        <f aca="false">E$5</f>
        <v>2023</v>
      </c>
      <c r="F378" s="44" t="n">
        <f aca="false">F$5</f>
        <v>2024</v>
      </c>
      <c r="G378" s="31" t="n">
        <f aca="false">G$5</f>
        <v>2025</v>
      </c>
      <c r="H378" s="31" t="n">
        <f aca="false">H$5</f>
        <v>2026</v>
      </c>
      <c r="I378" s="31" t="n">
        <f aca="false">I$5</f>
        <v>2027</v>
      </c>
      <c r="J378" s="31" t="n">
        <f aca="false">J$5</f>
        <v>2028</v>
      </c>
      <c r="K378" s="31" t="n">
        <f aca="false">K$5</f>
        <v>2029</v>
      </c>
      <c r="L378" s="31" t="n">
        <f aca="false">L$5</f>
        <v>2030</v>
      </c>
      <c r="M378" s="1"/>
    </row>
    <row r="379" customFormat="false" ht="15" hidden="false" customHeight="false" outlineLevel="1" collapsed="false">
      <c r="A379" s="1"/>
      <c r="B379" s="33" t="s">
        <v>417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customFormat="false" ht="15" hidden="false" customHeight="false" outlineLevel="1" collapsed="false">
      <c r="A380" s="1"/>
      <c r="B380" s="34" t="s">
        <v>177</v>
      </c>
      <c r="C380" s="1"/>
      <c r="D380" s="45" t="n">
        <f aca="false">D23</f>
        <v>1773.607</v>
      </c>
      <c r="E380" s="45" t="n">
        <f aca="false">E23</f>
        <v>2279.674</v>
      </c>
      <c r="F380" s="45" t="n">
        <f aca="false">F23</f>
        <v>2554.528</v>
      </c>
      <c r="G380" s="45" t="n">
        <f aca="false">G23</f>
        <v>2727.10242950997</v>
      </c>
      <c r="H380" s="45" t="n">
        <f aca="false">H23</f>
        <v>2861.36308604262</v>
      </c>
      <c r="I380" s="45" t="n">
        <f aca="false">I23</f>
        <v>3007.95260595864</v>
      </c>
      <c r="J380" s="45" t="n">
        <f aca="false">J23</f>
        <v>3166.05712110743</v>
      </c>
      <c r="K380" s="45" t="n">
        <f aca="false">K23</f>
        <v>3335.23928427437</v>
      </c>
      <c r="L380" s="45" t="n">
        <f aca="false">L23</f>
        <v>3515.34285617944</v>
      </c>
      <c r="M380" s="1"/>
    </row>
    <row r="381" customFormat="false" ht="15" hidden="false" customHeight="false" outlineLevel="1" collapsed="false">
      <c r="A381" s="1"/>
      <c r="B381" s="34" t="s">
        <v>418</v>
      </c>
      <c r="C381" s="1"/>
      <c r="D381" s="45" t="n">
        <f aca="false">D77+D79</f>
        <v>2831.772</v>
      </c>
      <c r="E381" s="45" t="n">
        <f aca="false">E77+E79</f>
        <v>2490.725</v>
      </c>
      <c r="F381" s="45" t="n">
        <f aca="false">F77+F79</f>
        <v>3413.782</v>
      </c>
      <c r="G381" s="45" t="n">
        <f aca="false">G77+G79</f>
        <v>3413.782</v>
      </c>
      <c r="H381" s="45" t="n">
        <f aca="false">H77+H79</f>
        <v>3413.782</v>
      </c>
      <c r="I381" s="45" t="n">
        <f aca="false">I77+I79</f>
        <v>3413.782</v>
      </c>
      <c r="J381" s="45" t="n">
        <f aca="false">J77+J79</f>
        <v>3413.782</v>
      </c>
      <c r="K381" s="45" t="n">
        <f aca="false">K77+K79</f>
        <v>3413.782</v>
      </c>
      <c r="L381" s="45" t="n">
        <f aca="false">L77+L79</f>
        <v>3413.782</v>
      </c>
      <c r="M381" s="1"/>
    </row>
    <row r="382" customFormat="false" ht="15" hidden="false" customHeight="false" outlineLevel="1" collapsed="false">
      <c r="A382" s="1"/>
      <c r="B382" s="34" t="s">
        <v>419</v>
      </c>
      <c r="C382" s="1"/>
      <c r="D382" s="45" t="n">
        <f aca="false">D381-D67-D66</f>
        <v>1355.57</v>
      </c>
      <c r="E382" s="45" t="n">
        <f aca="false">E381-E67-E66</f>
        <v>1307.614</v>
      </c>
      <c r="F382" s="45" t="n">
        <f aca="false">F381-F67-F66</f>
        <v>1646.562</v>
      </c>
      <c r="G382" s="45" t="n">
        <f aca="false">G381-G67-G66</f>
        <v>1328.36165191616</v>
      </c>
      <c r="H382" s="45" t="n">
        <f aca="false">H381-H67-H66</f>
        <v>1137.60927586366</v>
      </c>
      <c r="I382" s="45" t="n">
        <f aca="false">I381-I67-I66</f>
        <v>982.642473837298</v>
      </c>
      <c r="J382" s="45" t="n">
        <f aca="false">J381-J67-J66</f>
        <v>780.209048223262</v>
      </c>
      <c r="K382" s="45" t="n">
        <f aca="false">K381-K67-K66</f>
        <v>524.225460218555</v>
      </c>
      <c r="L382" s="45" t="n">
        <f aca="false">L381-L67-L66</f>
        <v>209.519615529445</v>
      </c>
      <c r="M382" s="1"/>
    </row>
    <row r="383" customFormat="false" ht="15" hidden="false" customHeight="false" outlineLevel="1" collapsed="false">
      <c r="A383" s="1"/>
      <c r="B383" s="34" t="s">
        <v>276</v>
      </c>
      <c r="C383" s="1"/>
      <c r="D383" s="58" t="n">
        <f aca="false">D382/D380</f>
        <v>0.764301223439014</v>
      </c>
      <c r="E383" s="58" t="n">
        <f aca="false">E382/E380</f>
        <v>0.573596926578099</v>
      </c>
      <c r="F383" s="58" t="n">
        <f aca="false">F382/F380</f>
        <v>0.644566041162986</v>
      </c>
      <c r="G383" s="58" t="n">
        <f aca="false">G382/G380</f>
        <v>0.487096354556381</v>
      </c>
      <c r="H383" s="58" t="n">
        <f aca="false">H382/H380</f>
        <v>0.397575994955965</v>
      </c>
      <c r="I383" s="58" t="n">
        <f aca="false">I382/I380</f>
        <v>0.326681501527225</v>
      </c>
      <c r="J383" s="58" t="n">
        <f aca="false">J382/J380</f>
        <v>0.246429239391095</v>
      </c>
      <c r="K383" s="58" t="n">
        <f aca="false">K382/K380</f>
        <v>0.157177766132185</v>
      </c>
      <c r="L383" s="58" t="n">
        <f aca="false">L382/L380</f>
        <v>0.0596014739106148</v>
      </c>
      <c r="M383" s="1"/>
    </row>
    <row r="384" customFormat="false" ht="15" hidden="false" customHeight="false" outlineLevel="1" collapsed="false">
      <c r="A384" s="1"/>
      <c r="B384" s="34" t="s">
        <v>420</v>
      </c>
      <c r="C384" s="1"/>
      <c r="D384" s="62" t="n">
        <f aca="false">-D380/D15</f>
        <v>13.2880336245261</v>
      </c>
      <c r="E384" s="62" t="n">
        <f aca="false">-E380/E15</f>
        <v>15.4728304396813</v>
      </c>
      <c r="F384" s="62" t="n">
        <f aca="false">-F380/F15</f>
        <v>17.5093594708523</v>
      </c>
      <c r="G384" s="62" t="n">
        <f aca="false">-G380/G15</f>
        <v>18.4909521650727</v>
      </c>
      <c r="H384" s="62" t="n">
        <f aca="false">-H380/H15</f>
        <v>19.4012983811635</v>
      </c>
      <c r="I384" s="62" t="n">
        <f aca="false">-I380/I15</f>
        <v>20.3952397056026</v>
      </c>
      <c r="J384" s="62" t="n">
        <f aca="false">-J380/J15</f>
        <v>21.4672577548929</v>
      </c>
      <c r="K384" s="62" t="n">
        <f aca="false">-K380/K15</f>
        <v>22.6143871228447</v>
      </c>
      <c r="L384" s="62" t="n">
        <f aca="false">-L380/L15</f>
        <v>23.8355684385218</v>
      </c>
      <c r="M384" s="1"/>
    </row>
    <row r="385" customFormat="false" ht="15" hidden="false" customHeight="false" outlineLevel="1" collapsed="false">
      <c r="A385" s="1"/>
      <c r="B385" s="34" t="s">
        <v>278</v>
      </c>
      <c r="C385" s="1"/>
      <c r="D385" s="53" t="n">
        <f aca="false">D73/D69</f>
        <v>0.335120566100979</v>
      </c>
      <c r="E385" s="53" t="n">
        <f aca="false">E73/E69</f>
        <v>0.381381568618879</v>
      </c>
      <c r="F385" s="53" t="n">
        <f aca="false">F73/F69</f>
        <v>0.373084503491891</v>
      </c>
      <c r="G385" s="53" t="n">
        <f aca="false">G73/G69</f>
        <v>0.399318895295409</v>
      </c>
      <c r="H385" s="53" t="n">
        <f aca="false">H73/H69</f>
        <v>0.417591154944214</v>
      </c>
      <c r="I385" s="53" t="n">
        <f aca="false">I73/I69</f>
        <v>0.433170422369808</v>
      </c>
      <c r="J385" s="53" t="n">
        <f aca="false">J73/J69</f>
        <v>0.450244903186705</v>
      </c>
      <c r="K385" s="53" t="n">
        <f aca="false">K73/K69</f>
        <v>0.46849904912591</v>
      </c>
      <c r="L385" s="53" t="n">
        <f aca="false">L73/L69</f>
        <v>0.487599991260865</v>
      </c>
      <c r="M385" s="1"/>
    </row>
    <row r="386" customFormat="false" ht="15" hidden="false" customHeight="false" outlineLevel="1" collapsed="false">
      <c r="A386" s="1"/>
      <c r="B386" s="33" t="s">
        <v>421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customFormat="false" ht="15" hidden="false" customHeight="false" outlineLevel="1" collapsed="false">
      <c r="A387" s="1"/>
      <c r="B387" s="34" t="s">
        <v>177</v>
      </c>
      <c r="C387" s="1"/>
      <c r="D387" s="45" t="n">
        <f aca="false">D338</f>
        <v>1773.607</v>
      </c>
      <c r="E387" s="45" t="n">
        <f aca="false">E338</f>
        <v>2279.674</v>
      </c>
      <c r="F387" s="45" t="n">
        <f aca="false">F338</f>
        <v>2554.528</v>
      </c>
      <c r="G387" s="45" t="n">
        <f aca="false">G338</f>
        <v>2727.10242950997</v>
      </c>
      <c r="H387" s="45" t="n">
        <f aca="false">H338</f>
        <v>2861.36308604262</v>
      </c>
      <c r="I387" s="45" t="n">
        <f aca="false">I338</f>
        <v>3007.95260595864</v>
      </c>
      <c r="J387" s="45" t="n">
        <f aca="false">J338</f>
        <v>3166.05712110743</v>
      </c>
      <c r="K387" s="45" t="n">
        <f aca="false">K338</f>
        <v>3560.23928427437</v>
      </c>
      <c r="L387" s="45" t="n">
        <f aca="false">L338</f>
        <v>3665.34285617944</v>
      </c>
      <c r="M387" s="1"/>
    </row>
    <row r="388" customFormat="false" ht="15" hidden="false" customHeight="false" outlineLevel="1" collapsed="false">
      <c r="A388" s="1"/>
      <c r="B388" s="34" t="s">
        <v>422</v>
      </c>
      <c r="C388" s="1"/>
      <c r="D388" s="45" t="n">
        <f aca="false">D350+D351+D79</f>
        <v>2831.772</v>
      </c>
      <c r="E388" s="45" t="n">
        <f aca="false">E350+E351+E79</f>
        <v>2490.725</v>
      </c>
      <c r="F388" s="45" t="n">
        <f aca="false">F350+F351+F79</f>
        <v>3413.782</v>
      </c>
      <c r="G388" s="45" t="n">
        <f aca="false">G350+G351+G79</f>
        <v>3413.782</v>
      </c>
      <c r="H388" s="45" t="n">
        <f aca="false">H350+H351+H79</f>
        <v>3763.782</v>
      </c>
      <c r="I388" s="45" t="n">
        <f aca="false">I350+I351+I79</f>
        <v>4201.282</v>
      </c>
      <c r="J388" s="45" t="n">
        <f aca="false">J350+J351+J79</f>
        <v>4513.782</v>
      </c>
      <c r="K388" s="45" t="n">
        <f aca="false">K350+K351+K79</f>
        <v>3977.443961</v>
      </c>
      <c r="L388" s="45" t="n">
        <f aca="false">L350+L351+L79</f>
        <v>3413.782</v>
      </c>
      <c r="M388" s="1"/>
    </row>
    <row r="389" customFormat="false" ht="15" hidden="false" customHeight="false" outlineLevel="1" collapsed="false">
      <c r="A389" s="1"/>
      <c r="B389" s="34" t="s">
        <v>419</v>
      </c>
      <c r="C389" s="1"/>
      <c r="D389" s="45" t="n">
        <f aca="false">D388-D345-D66</f>
        <v>1355.57</v>
      </c>
      <c r="E389" s="45" t="n">
        <f aca="false">E388-E345-E66</f>
        <v>1307.614</v>
      </c>
      <c r="F389" s="45" t="n">
        <f aca="false">F388-F345-F66</f>
        <v>1646.562</v>
      </c>
      <c r="G389" s="45" t="n">
        <f aca="false">G388-G345-G66</f>
        <v>1565.86165191616</v>
      </c>
      <c r="H389" s="45" t="n">
        <f aca="false">H388-H345-H66</f>
        <v>1824.57958836367</v>
      </c>
      <c r="I389" s="45" t="n">
        <f aca="false">I388-I345-I66</f>
        <v>2131.0015769623</v>
      </c>
      <c r="J389" s="45" t="n">
        <f aca="false">J388-J345-J66</f>
        <v>2272.07917762326</v>
      </c>
      <c r="K389" s="45" t="n">
        <f aca="false">K388-K345-K66</f>
        <v>1015.94847242519</v>
      </c>
      <c r="L389" s="45" t="n">
        <f aca="false">L388-L345-L66</f>
        <v>82.5430726504008</v>
      </c>
      <c r="M389" s="1"/>
    </row>
    <row r="390" customFormat="false" ht="15" hidden="false" customHeight="false" outlineLevel="1" collapsed="false">
      <c r="A390" s="1"/>
      <c r="B390" s="34" t="s">
        <v>276</v>
      </c>
      <c r="C390" s="1"/>
      <c r="D390" s="58" t="n">
        <f aca="false">D389/D387</f>
        <v>0.764301223439014</v>
      </c>
      <c r="E390" s="58" t="n">
        <f aca="false">E389/E387</f>
        <v>0.573596926578099</v>
      </c>
      <c r="F390" s="58" t="n">
        <f aca="false">F389/F387</f>
        <v>0.644566041162986</v>
      </c>
      <c r="G390" s="58" t="n">
        <f aca="false">G389/G387</f>
        <v>0.574185125931454</v>
      </c>
      <c r="H390" s="58" t="n">
        <f aca="false">H389/H387</f>
        <v>0.637660979574295</v>
      </c>
      <c r="I390" s="58" t="n">
        <f aca="false">I389/I387</f>
        <v>0.708455835620836</v>
      </c>
      <c r="J390" s="58" t="n">
        <f aca="false">J389/J387</f>
        <v>0.717636824198715</v>
      </c>
      <c r="K390" s="58" t="n">
        <f aca="false">K389/K387</f>
        <v>0.28535960403354</v>
      </c>
      <c r="L390" s="58" t="n">
        <f aca="false">L389/L387</f>
        <v>0.022519877645618</v>
      </c>
      <c r="M390" s="1"/>
    </row>
    <row r="391" customFormat="false" ht="15" hidden="false" customHeight="false" outlineLevel="1" collapsed="false">
      <c r="A391" s="1"/>
      <c r="B391" s="34" t="s">
        <v>423</v>
      </c>
      <c r="C391" s="1"/>
      <c r="D391" s="62" t="n">
        <f aca="false">-D387/(D331+D332)</f>
        <v>13.2880336245261</v>
      </c>
      <c r="E391" s="62" t="n">
        <f aca="false">-E387/(E331+E332)</f>
        <v>15.4728304396813</v>
      </c>
      <c r="F391" s="62" t="n">
        <f aca="false">-F387/(F331+F332)</f>
        <v>17.5093594708523</v>
      </c>
      <c r="G391" s="62" t="n">
        <f aca="false">-G387/(G331+G332)</f>
        <v>18.4909521650727</v>
      </c>
      <c r="H391" s="62" t="n">
        <f aca="false">-H387/(H331+H332)</f>
        <v>18.0618151412976</v>
      </c>
      <c r="I391" s="62" t="n">
        <f aca="false">-I387/(I331+I332)</f>
        <v>16.8366600335934</v>
      </c>
      <c r="J391" s="62" t="n">
        <f aca="false">-J387/(J331+J332)</f>
        <v>16.1021136791433</v>
      </c>
      <c r="K391" s="62" t="n">
        <f aca="false">-K387/(K331+K332)</f>
        <v>18.4917876306296</v>
      </c>
      <c r="L391" s="62" t="n">
        <f aca="false">-L387/(L331+L332)</f>
        <v>22.1863772331465</v>
      </c>
      <c r="M391" s="1"/>
    </row>
    <row r="392" customFormat="false" ht="15" hidden="false" customHeight="false" outlineLevel="1" collapsed="false">
      <c r="A392" s="1"/>
      <c r="B392" s="34" t="s">
        <v>278</v>
      </c>
      <c r="C392" s="1"/>
      <c r="D392" s="53" t="n">
        <f aca="false">D349/D346</f>
        <v>0.335120566100979</v>
      </c>
      <c r="E392" s="53" t="n">
        <f aca="false">E349/E346</f>
        <v>0.381381568618879</v>
      </c>
      <c r="F392" s="53" t="n">
        <f aca="false">F349/F346</f>
        <v>0.373084503491891</v>
      </c>
      <c r="G392" s="53" t="n">
        <f aca="false">G349/G346</f>
        <v>0.399318895295409</v>
      </c>
      <c r="H392" s="53" t="n">
        <f aca="false">H349/H346</f>
        <v>0.403676301825958</v>
      </c>
      <c r="I392" s="53" t="n">
        <f aca="false">I349/I346</f>
        <v>0.402853751961381</v>
      </c>
      <c r="J392" s="53" t="n">
        <f aca="false">J349/J346</f>
        <v>0.408610887963225</v>
      </c>
      <c r="K392" s="53" t="n">
        <f aca="false">K349/K346</f>
        <v>0.451435857916292</v>
      </c>
      <c r="L392" s="53" t="n">
        <f aca="false">L349/L346</f>
        <v>0.492508990490901</v>
      </c>
      <c r="M392" s="1"/>
    </row>
    <row r="393" customFormat="false" ht="15" hidden="false" customHeight="false" outlineLevel="1" collapsed="false">
      <c r="A393" s="1"/>
      <c r="B393" s="34" t="s">
        <v>424</v>
      </c>
      <c r="C393" s="1"/>
      <c r="D393" s="58"/>
      <c r="E393" s="58"/>
      <c r="F393" s="58"/>
      <c r="G393" s="58" t="str">
        <f aca="false">G294</f>
        <v>n.m.</v>
      </c>
      <c r="H393" s="58" t="str">
        <f aca="false">H294</f>
        <v>n.m.</v>
      </c>
      <c r="I393" s="58" t="str">
        <f aca="false">I294</f>
        <v>n.m.</v>
      </c>
      <c r="J393" s="58" t="str">
        <f aca="false">J294</f>
        <v>n.m.</v>
      </c>
      <c r="K393" s="58" t="n">
        <f aca="false">K294</f>
        <v>1.7793212062453</v>
      </c>
      <c r="L393" s="58" t="n">
        <f aca="false">L294</f>
        <v>1.18085809954213</v>
      </c>
      <c r="M393" s="1"/>
    </row>
    <row r="394" customFormat="false" ht="15" hidden="false" customHeight="false" outlineLevel="1" collapsed="false">
      <c r="A394" s="1"/>
      <c r="B394" s="34" t="s">
        <v>425</v>
      </c>
      <c r="C394" s="1"/>
      <c r="D394" s="58"/>
      <c r="E394" s="58"/>
      <c r="F394" s="58"/>
      <c r="G394" s="58" t="str">
        <f aca="false">IF(G289=0,"n.m.",G158/G292)</f>
        <v>n.m.</v>
      </c>
      <c r="H394" s="58" t="str">
        <f aca="false">IF(H289=0,"n.m.",H158/H292)</f>
        <v>n.m.</v>
      </c>
      <c r="I394" s="58" t="str">
        <f aca="false">IF(I289=0,"n.m.",I158/I292)</f>
        <v>n.m.</v>
      </c>
      <c r="J394" s="58" t="str">
        <f aca="false">IF(J289=0,"n.m.",J158/J292)</f>
        <v>n.m.</v>
      </c>
      <c r="K394" s="58" t="n">
        <f aca="false">IF(K289=0,"n.m.",K158/K292)</f>
        <v>2.92442937599219</v>
      </c>
      <c r="L394" s="58" t="n">
        <f aca="false">IF(L289=0,"n.m.",L158/L292)</f>
        <v>3.10284993423995</v>
      </c>
      <c r="M394" s="1"/>
    </row>
    <row r="395" customFormat="false" ht="1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</sheetData>
  <conditionalFormatting sqref="D84:L84">
    <cfRule type="expression" priority="2" aboveAverage="0" equalAverage="0" bottom="0" percent="0" rank="0" text="" dxfId="0">
      <formula>AND(ISNUMBER(D84),ABS(D84)&gt;0.001)</formula>
    </cfRule>
  </conditionalFormatting>
  <conditionalFormatting sqref="D85:L85">
    <cfRule type="expression" priority="3" aboveAverage="0" equalAverage="0" bottom="0" percent="0" rank="0" text="" dxfId="0">
      <formula>AND(ISNUMBER(D85),ABS(D85)&gt;0.001)</formula>
    </cfRule>
  </conditionalFormatting>
  <conditionalFormatting sqref="D115:L115">
    <cfRule type="expression" priority="4" aboveAverage="0" equalAverage="0" bottom="0" percent="0" rank="0" text="" dxfId="0">
      <formula>AND(ISNUMBER(D115),ABS(D115)&gt;0.001)</formula>
    </cfRule>
  </conditionalFormatting>
  <conditionalFormatting sqref="D130:L130">
    <cfRule type="expression" priority="5" aboveAverage="0" equalAverage="0" bottom="0" percent="0" rank="0" text="" dxfId="0">
      <formula>AND(ISNUMBER(D130),ABS(D130)&gt;0.001)</formula>
    </cfRule>
  </conditionalFormatting>
  <conditionalFormatting sqref="D139:L139">
    <cfRule type="expression" priority="6" aboveAverage="0" equalAverage="0" bottom="0" percent="0" rank="0" text="" dxfId="0">
      <formula>AND(ISNUMBER(D139),ABS(D139)&gt;0.001)</formula>
    </cfRule>
  </conditionalFormatting>
  <conditionalFormatting sqref="D285:L285">
    <cfRule type="expression" priority="7" aboveAverage="0" equalAverage="0" bottom="0" percent="0" rank="0" text="" dxfId="0">
      <formula>AND(ISNUMBER(D285),ABS(D285)&gt;0.001)</formula>
    </cfRule>
  </conditionalFormatting>
  <conditionalFormatting sqref="D355:L355">
    <cfRule type="expression" priority="8" aboveAverage="0" equalAverage="0" bottom="0" percent="0" rank="0" text="" dxfId="0">
      <formula>AND(ISNUMBER(D355),ABS(D355)&gt;0.001)</formula>
    </cfRule>
  </conditionalFormatting>
  <conditionalFormatting sqref="D356:L356">
    <cfRule type="expression" priority="9" aboveAverage="0" equalAverage="0" bottom="0" percent="0" rank="0" text="" dxfId="0">
      <formula>AND(ISNUMBER(D356),ABS(D356)&gt;0.001)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2026-09-24T12:27:43Z</dcterms:created>
  <dc:creator>openpyxl</dc:creator>
  <dc:description/>
  <dc:language>en-US</dc:language>
  <cp:lastModifiedBy/>
  <dcterms:modified xsi:type="dcterms:W3CDTF">2026-09-24T12:27:44Z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